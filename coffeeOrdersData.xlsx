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CompuMarts\Downloads\"/>
    </mc:Choice>
  </mc:AlternateContent>
  <xr:revisionPtr revIDLastSave="0" documentId="8_{BC3F471F-F87C-4A72-AE77-413BA7CC8A12}" xr6:coauthVersionLast="47" xr6:coauthVersionMax="47" xr10:uidLastSave="{00000000-0000-0000-0000-000000000000}"/>
  <bookViews>
    <workbookView xWindow="-108" yWindow="-108" windowWidth="23256" windowHeight="12456" activeTab="1" xr2:uid="{00000000-000D-0000-FFFF-FFFF00000000}"/>
  </bookViews>
  <sheets>
    <sheet name="TotalSales" sheetId="18" r:id="rId1"/>
    <sheet name="DashBoard" sheetId="23" r:id="rId2"/>
    <sheet name="Sales By Country" sheetId="20" r:id="rId3"/>
    <sheet name="Top 5 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2">#N/A</definedName>
    <definedName name="Slicer_Size">#N/A</definedName>
  </definedNames>
  <calcPr calcId="191028"/>
  <pivotCaches>
    <pivotCache cacheId="2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I3" i="17"/>
  <c r="I4" i="17"/>
  <c r="N4" i="17" s="1"/>
  <c r="I5" i="17"/>
  <c r="N5" i="17" s="1"/>
  <c r="I6" i="17"/>
  <c r="I7" i="17"/>
  <c r="I8" i="17"/>
  <c r="I9" i="17"/>
  <c r="N9" i="17" s="1"/>
  <c r="I10" i="17"/>
  <c r="I11" i="17"/>
  <c r="I12" i="17"/>
  <c r="N12" i="17" s="1"/>
  <c r="I13" i="17"/>
  <c r="I14" i="17"/>
  <c r="I15" i="17"/>
  <c r="I16" i="17"/>
  <c r="I17" i="17"/>
  <c r="N17" i="17" s="1"/>
  <c r="I18" i="17"/>
  <c r="I19" i="17"/>
  <c r="I20" i="17"/>
  <c r="N20" i="17" s="1"/>
  <c r="I21" i="17"/>
  <c r="N21" i="17" s="1"/>
  <c r="I22" i="17"/>
  <c r="I23" i="17"/>
  <c r="I24" i="17"/>
  <c r="I25" i="17"/>
  <c r="N25" i="17" s="1"/>
  <c r="I26" i="17"/>
  <c r="I27" i="17"/>
  <c r="I28" i="17"/>
  <c r="N28" i="17" s="1"/>
  <c r="I29" i="17"/>
  <c r="N29" i="17" s="1"/>
  <c r="I30" i="17"/>
  <c r="I31" i="17"/>
  <c r="I32" i="17"/>
  <c r="I33" i="17"/>
  <c r="N33" i="17" s="1"/>
  <c r="I34" i="17"/>
  <c r="I35" i="17"/>
  <c r="I36" i="17"/>
  <c r="N36" i="17" s="1"/>
  <c r="I37" i="17"/>
  <c r="N37" i="17" s="1"/>
  <c r="I38" i="17"/>
  <c r="I39" i="17"/>
  <c r="I40" i="17"/>
  <c r="I41" i="17"/>
  <c r="N41" i="17" s="1"/>
  <c r="I42" i="17"/>
  <c r="I43" i="17"/>
  <c r="I44" i="17"/>
  <c r="N44" i="17" s="1"/>
  <c r="I45" i="17"/>
  <c r="N45" i="17" s="1"/>
  <c r="I46" i="17"/>
  <c r="I47" i="17"/>
  <c r="I48" i="17"/>
  <c r="I49" i="17"/>
  <c r="I50" i="17"/>
  <c r="I51" i="17"/>
  <c r="I52" i="17"/>
  <c r="N52" i="17" s="1"/>
  <c r="I53" i="17"/>
  <c r="I54" i="17"/>
  <c r="I55" i="17"/>
  <c r="I56" i="17"/>
  <c r="I57" i="17"/>
  <c r="N57" i="17" s="1"/>
  <c r="I58" i="17"/>
  <c r="I59" i="17"/>
  <c r="I60" i="17"/>
  <c r="N60" i="17" s="1"/>
  <c r="I61" i="17"/>
  <c r="N61" i="17" s="1"/>
  <c r="I62" i="17"/>
  <c r="I63" i="17"/>
  <c r="I64" i="17"/>
  <c r="I65" i="17"/>
  <c r="N65" i="17" s="1"/>
  <c r="I66" i="17"/>
  <c r="I67" i="17"/>
  <c r="I68" i="17"/>
  <c r="N68" i="17" s="1"/>
  <c r="I69" i="17"/>
  <c r="N69" i="17" s="1"/>
  <c r="I70" i="17"/>
  <c r="I71" i="17"/>
  <c r="I72" i="17"/>
  <c r="I73" i="17"/>
  <c r="N73" i="17" s="1"/>
  <c r="I74" i="17"/>
  <c r="I75" i="17"/>
  <c r="I76" i="17"/>
  <c r="N76" i="17" s="1"/>
  <c r="I77" i="17"/>
  <c r="N77" i="17" s="1"/>
  <c r="I78" i="17"/>
  <c r="I79" i="17"/>
  <c r="I80" i="17"/>
  <c r="I81" i="17"/>
  <c r="N81" i="17" s="1"/>
  <c r="I82" i="17"/>
  <c r="I83" i="17"/>
  <c r="I84" i="17"/>
  <c r="N84" i="17" s="1"/>
  <c r="I85" i="17"/>
  <c r="N85" i="17" s="1"/>
  <c r="I86" i="17"/>
  <c r="I87" i="17"/>
  <c r="I88" i="17"/>
  <c r="I89" i="17"/>
  <c r="N89" i="17" s="1"/>
  <c r="I90" i="17"/>
  <c r="I91" i="17"/>
  <c r="I92" i="17"/>
  <c r="N92" i="17" s="1"/>
  <c r="I93" i="17"/>
  <c r="N93" i="17" s="1"/>
  <c r="I94" i="17"/>
  <c r="I95" i="17"/>
  <c r="I96" i="17"/>
  <c r="I97" i="17"/>
  <c r="N97" i="17" s="1"/>
  <c r="I98" i="17"/>
  <c r="I99" i="17"/>
  <c r="I100" i="17"/>
  <c r="N100" i="17" s="1"/>
  <c r="I101" i="17"/>
  <c r="N101" i="17" s="1"/>
  <c r="I102" i="17"/>
  <c r="I103" i="17"/>
  <c r="I104" i="17"/>
  <c r="I105" i="17"/>
  <c r="N105" i="17" s="1"/>
  <c r="I106" i="17"/>
  <c r="I107" i="17"/>
  <c r="I108" i="17"/>
  <c r="N108" i="17" s="1"/>
  <c r="I109" i="17"/>
  <c r="I110" i="17"/>
  <c r="I111" i="17"/>
  <c r="I112" i="17"/>
  <c r="I113" i="17"/>
  <c r="N113" i="17" s="1"/>
  <c r="I114" i="17"/>
  <c r="I115" i="17"/>
  <c r="I116" i="17"/>
  <c r="I117" i="17"/>
  <c r="I118" i="17"/>
  <c r="I119" i="17"/>
  <c r="I120" i="17"/>
  <c r="I121" i="17"/>
  <c r="N121" i="17" s="1"/>
  <c r="I122" i="17"/>
  <c r="I123" i="17"/>
  <c r="I124" i="17"/>
  <c r="N124" i="17" s="1"/>
  <c r="I125" i="17"/>
  <c r="N125" i="17" s="1"/>
  <c r="I126" i="17"/>
  <c r="I127" i="17"/>
  <c r="I128" i="17"/>
  <c r="I129" i="17"/>
  <c r="N129" i="17" s="1"/>
  <c r="I130" i="17"/>
  <c r="I131" i="17"/>
  <c r="I132" i="17"/>
  <c r="N132" i="17" s="1"/>
  <c r="I133" i="17"/>
  <c r="N133" i="17" s="1"/>
  <c r="I134" i="17"/>
  <c r="I135" i="17"/>
  <c r="I136" i="17"/>
  <c r="I137" i="17"/>
  <c r="N137" i="17" s="1"/>
  <c r="I138" i="17"/>
  <c r="I139" i="17"/>
  <c r="I140" i="17"/>
  <c r="N140" i="17" s="1"/>
  <c r="I141" i="17"/>
  <c r="N141" i="17" s="1"/>
  <c r="I142" i="17"/>
  <c r="I143" i="17"/>
  <c r="I144" i="17"/>
  <c r="I145" i="17"/>
  <c r="N145" i="17" s="1"/>
  <c r="I146" i="17"/>
  <c r="I147" i="17"/>
  <c r="I148" i="17"/>
  <c r="N148" i="17" s="1"/>
  <c r="I149" i="17"/>
  <c r="N149" i="17" s="1"/>
  <c r="I150" i="17"/>
  <c r="I151" i="17"/>
  <c r="I152" i="17"/>
  <c r="I153" i="17"/>
  <c r="N153" i="17" s="1"/>
  <c r="I154" i="17"/>
  <c r="I155" i="17"/>
  <c r="I156" i="17"/>
  <c r="N156" i="17" s="1"/>
  <c r="I157" i="17"/>
  <c r="I158" i="17"/>
  <c r="I159" i="17"/>
  <c r="I160" i="17"/>
  <c r="I161" i="17"/>
  <c r="N161" i="17" s="1"/>
  <c r="I162" i="17"/>
  <c r="I163" i="17"/>
  <c r="I164" i="17"/>
  <c r="N164" i="17" s="1"/>
  <c r="I165" i="17"/>
  <c r="I166" i="17"/>
  <c r="I167" i="17"/>
  <c r="I168" i="17"/>
  <c r="I169" i="17"/>
  <c r="N169" i="17" s="1"/>
  <c r="I170" i="17"/>
  <c r="I171" i="17"/>
  <c r="I172" i="17"/>
  <c r="N172" i="17" s="1"/>
  <c r="I173" i="17"/>
  <c r="N173" i="17" s="1"/>
  <c r="I174" i="17"/>
  <c r="I175" i="17"/>
  <c r="I176" i="17"/>
  <c r="I177" i="17"/>
  <c r="N177" i="17" s="1"/>
  <c r="I178" i="17"/>
  <c r="I179" i="17"/>
  <c r="I180" i="17"/>
  <c r="N180" i="17" s="1"/>
  <c r="I181" i="17"/>
  <c r="N181" i="17" s="1"/>
  <c r="I182" i="17"/>
  <c r="I183" i="17"/>
  <c r="I184" i="17"/>
  <c r="I185" i="17"/>
  <c r="N185" i="17" s="1"/>
  <c r="I186" i="17"/>
  <c r="I187" i="17"/>
  <c r="I188" i="17"/>
  <c r="N188" i="17" s="1"/>
  <c r="I189" i="17"/>
  <c r="N189" i="17" s="1"/>
  <c r="I190" i="17"/>
  <c r="I191" i="17"/>
  <c r="I192" i="17"/>
  <c r="I193" i="17"/>
  <c r="I194" i="17"/>
  <c r="I195" i="17"/>
  <c r="I196" i="17"/>
  <c r="N196" i="17" s="1"/>
  <c r="I197" i="17"/>
  <c r="N197" i="17" s="1"/>
  <c r="I198" i="17"/>
  <c r="I199" i="17"/>
  <c r="I200" i="17"/>
  <c r="I201" i="17"/>
  <c r="N201" i="17" s="1"/>
  <c r="I202" i="17"/>
  <c r="I203" i="17"/>
  <c r="I204" i="17"/>
  <c r="I205" i="17"/>
  <c r="I206" i="17"/>
  <c r="I207" i="17"/>
  <c r="I208" i="17"/>
  <c r="I209" i="17"/>
  <c r="N209" i="17" s="1"/>
  <c r="I210" i="17"/>
  <c r="I211" i="17"/>
  <c r="I212" i="17"/>
  <c r="N212" i="17" s="1"/>
  <c r="I213" i="17"/>
  <c r="I214" i="17"/>
  <c r="I215" i="17"/>
  <c r="I216" i="17"/>
  <c r="I217" i="17"/>
  <c r="N217" i="17" s="1"/>
  <c r="I218" i="17"/>
  <c r="I219" i="17"/>
  <c r="I220" i="17"/>
  <c r="N220" i="17" s="1"/>
  <c r="I221" i="17"/>
  <c r="N221" i="17" s="1"/>
  <c r="I222" i="17"/>
  <c r="I223" i="17"/>
  <c r="I224" i="17"/>
  <c r="I225" i="17"/>
  <c r="N225" i="17" s="1"/>
  <c r="I226" i="17"/>
  <c r="I227" i="17"/>
  <c r="I228" i="17"/>
  <c r="N228" i="17" s="1"/>
  <c r="I229" i="17"/>
  <c r="N229" i="17" s="1"/>
  <c r="I230" i="17"/>
  <c r="I231" i="17"/>
  <c r="I232" i="17"/>
  <c r="I233" i="17"/>
  <c r="N233" i="17" s="1"/>
  <c r="I234" i="17"/>
  <c r="I235" i="17"/>
  <c r="I236" i="17"/>
  <c r="N236" i="17" s="1"/>
  <c r="I237" i="17"/>
  <c r="N237" i="17" s="1"/>
  <c r="I238" i="17"/>
  <c r="I239" i="17"/>
  <c r="I240" i="17"/>
  <c r="I241" i="17"/>
  <c r="N241" i="17" s="1"/>
  <c r="I242" i="17"/>
  <c r="I243" i="17"/>
  <c r="I244" i="17"/>
  <c r="N244" i="17" s="1"/>
  <c r="I245" i="17"/>
  <c r="N245" i="17" s="1"/>
  <c r="I246" i="17"/>
  <c r="I247" i="17"/>
  <c r="I248" i="17"/>
  <c r="I249" i="17"/>
  <c r="I250" i="17"/>
  <c r="I251" i="17"/>
  <c r="I252" i="17"/>
  <c r="N252" i="17" s="1"/>
  <c r="I253" i="17"/>
  <c r="N253" i="17" s="1"/>
  <c r="I254" i="17"/>
  <c r="I255" i="17"/>
  <c r="I256" i="17"/>
  <c r="I257" i="17"/>
  <c r="N257" i="17" s="1"/>
  <c r="I258" i="17"/>
  <c r="I259" i="17"/>
  <c r="I260" i="17"/>
  <c r="N260" i="17" s="1"/>
  <c r="I261" i="17"/>
  <c r="N261" i="17" s="1"/>
  <c r="I262" i="17"/>
  <c r="I263" i="17"/>
  <c r="I264" i="17"/>
  <c r="I265" i="17"/>
  <c r="I266" i="17"/>
  <c r="I267" i="17"/>
  <c r="I268" i="17"/>
  <c r="N268" i="17" s="1"/>
  <c r="I269" i="17"/>
  <c r="I270" i="17"/>
  <c r="I271" i="17"/>
  <c r="I272" i="17"/>
  <c r="I273" i="17"/>
  <c r="N273" i="17" s="1"/>
  <c r="I274" i="17"/>
  <c r="I275" i="17"/>
  <c r="I276" i="17"/>
  <c r="N276" i="17" s="1"/>
  <c r="I277" i="17"/>
  <c r="I278" i="17"/>
  <c r="I279" i="17"/>
  <c r="I280" i="17"/>
  <c r="I281" i="17"/>
  <c r="N281" i="17" s="1"/>
  <c r="I282" i="17"/>
  <c r="I283" i="17"/>
  <c r="I284" i="17"/>
  <c r="N284" i="17" s="1"/>
  <c r="I285" i="17"/>
  <c r="N285" i="17" s="1"/>
  <c r="I286" i="17"/>
  <c r="I287" i="17"/>
  <c r="I288" i="17"/>
  <c r="I289" i="17"/>
  <c r="N289" i="17" s="1"/>
  <c r="I290" i="17"/>
  <c r="I291" i="17"/>
  <c r="I292" i="17"/>
  <c r="N292" i="17" s="1"/>
  <c r="I293" i="17"/>
  <c r="N293" i="17" s="1"/>
  <c r="I294" i="17"/>
  <c r="I295" i="17"/>
  <c r="I296" i="17"/>
  <c r="I297" i="17"/>
  <c r="I298" i="17"/>
  <c r="I299" i="17"/>
  <c r="I300" i="17"/>
  <c r="N300" i="17" s="1"/>
  <c r="I301" i="17"/>
  <c r="N301" i="17" s="1"/>
  <c r="I302" i="17"/>
  <c r="I303" i="17"/>
  <c r="I304" i="17"/>
  <c r="I305" i="17"/>
  <c r="N305" i="17" s="1"/>
  <c r="I306" i="17"/>
  <c r="I307" i="17"/>
  <c r="I308" i="17"/>
  <c r="N308" i="17" s="1"/>
  <c r="I309" i="17"/>
  <c r="N309" i="17" s="1"/>
  <c r="I310" i="17"/>
  <c r="I311" i="17"/>
  <c r="I312" i="17"/>
  <c r="I313" i="17"/>
  <c r="N313" i="17" s="1"/>
  <c r="I314" i="17"/>
  <c r="I315" i="17"/>
  <c r="I316" i="17"/>
  <c r="I317" i="17"/>
  <c r="N317" i="17" s="1"/>
  <c r="I318" i="17"/>
  <c r="I319" i="17"/>
  <c r="I320" i="17"/>
  <c r="I321" i="17"/>
  <c r="N321" i="17" s="1"/>
  <c r="I322" i="17"/>
  <c r="I323" i="17"/>
  <c r="I324" i="17"/>
  <c r="N324" i="17" s="1"/>
  <c r="I325" i="17"/>
  <c r="N325" i="17" s="1"/>
  <c r="I326" i="17"/>
  <c r="I327" i="17"/>
  <c r="I328" i="17"/>
  <c r="I329" i="17"/>
  <c r="I330" i="17"/>
  <c r="I331" i="17"/>
  <c r="I332" i="17"/>
  <c r="N332" i="17" s="1"/>
  <c r="I333" i="17"/>
  <c r="I334" i="17"/>
  <c r="I335" i="17"/>
  <c r="I336" i="17"/>
  <c r="I337" i="17"/>
  <c r="N337" i="17" s="1"/>
  <c r="I338" i="17"/>
  <c r="I339" i="17"/>
  <c r="I340" i="17"/>
  <c r="N340" i="17" s="1"/>
  <c r="I341" i="17"/>
  <c r="I342" i="17"/>
  <c r="I343" i="17"/>
  <c r="I344" i="17"/>
  <c r="I345" i="17"/>
  <c r="N345" i="17" s="1"/>
  <c r="I346" i="17"/>
  <c r="I347" i="17"/>
  <c r="I348" i="17"/>
  <c r="N348" i="17" s="1"/>
  <c r="I349" i="17"/>
  <c r="N349" i="17" s="1"/>
  <c r="I350" i="17"/>
  <c r="I351" i="17"/>
  <c r="I352" i="17"/>
  <c r="I353" i="17"/>
  <c r="N353" i="17" s="1"/>
  <c r="I354" i="17"/>
  <c r="I355" i="17"/>
  <c r="I356" i="17"/>
  <c r="N356" i="17" s="1"/>
  <c r="I357" i="17"/>
  <c r="N357" i="17" s="1"/>
  <c r="I358" i="17"/>
  <c r="I359" i="17"/>
  <c r="I360" i="17"/>
  <c r="I361" i="17"/>
  <c r="I362" i="17"/>
  <c r="I363" i="17"/>
  <c r="I364" i="17"/>
  <c r="I365" i="17"/>
  <c r="N365" i="17" s="1"/>
  <c r="I366" i="17"/>
  <c r="I367" i="17"/>
  <c r="I368" i="17"/>
  <c r="I369" i="17"/>
  <c r="N369" i="17" s="1"/>
  <c r="I370" i="17"/>
  <c r="I371" i="17"/>
  <c r="I372" i="17"/>
  <c r="N372" i="17" s="1"/>
  <c r="I373" i="17"/>
  <c r="N373" i="17" s="1"/>
  <c r="I374" i="17"/>
  <c r="I375" i="17"/>
  <c r="I376" i="17"/>
  <c r="I377" i="17"/>
  <c r="N377" i="17" s="1"/>
  <c r="I378" i="17"/>
  <c r="I379" i="17"/>
  <c r="I380" i="17"/>
  <c r="N380" i="17" s="1"/>
  <c r="I381" i="17"/>
  <c r="N381" i="17" s="1"/>
  <c r="I382" i="17"/>
  <c r="I383" i="17"/>
  <c r="I384" i="17"/>
  <c r="I385" i="17"/>
  <c r="N385" i="17" s="1"/>
  <c r="I386" i="17"/>
  <c r="I387" i="17"/>
  <c r="I388" i="17"/>
  <c r="N388" i="17" s="1"/>
  <c r="I389" i="17"/>
  <c r="N389" i="17" s="1"/>
  <c r="I390" i="17"/>
  <c r="I391" i="17"/>
  <c r="I392" i="17"/>
  <c r="I393" i="17"/>
  <c r="I394" i="17"/>
  <c r="I395" i="17"/>
  <c r="I396" i="17"/>
  <c r="N396" i="17" s="1"/>
  <c r="I397" i="17"/>
  <c r="I398" i="17"/>
  <c r="I399" i="17"/>
  <c r="I400" i="17"/>
  <c r="I401" i="17"/>
  <c r="N401" i="17" s="1"/>
  <c r="I402" i="17"/>
  <c r="I403" i="17"/>
  <c r="I404" i="17"/>
  <c r="N404" i="17" s="1"/>
  <c r="I405" i="17"/>
  <c r="I406" i="17"/>
  <c r="I407" i="17"/>
  <c r="I408" i="17"/>
  <c r="I409" i="17"/>
  <c r="N409" i="17" s="1"/>
  <c r="I410" i="17"/>
  <c r="I411" i="17"/>
  <c r="I412" i="17"/>
  <c r="N412" i="17" s="1"/>
  <c r="I413" i="17"/>
  <c r="N413" i="17" s="1"/>
  <c r="I414" i="17"/>
  <c r="I415" i="17"/>
  <c r="I416" i="17"/>
  <c r="I417" i="17"/>
  <c r="N417" i="17" s="1"/>
  <c r="I418" i="17"/>
  <c r="I419" i="17"/>
  <c r="I420" i="17"/>
  <c r="I421" i="17"/>
  <c r="N421" i="17" s="1"/>
  <c r="I422" i="17"/>
  <c r="I423" i="17"/>
  <c r="I424" i="17"/>
  <c r="I425" i="17"/>
  <c r="I426" i="17"/>
  <c r="I427" i="17"/>
  <c r="I428" i="17"/>
  <c r="N428" i="17" s="1"/>
  <c r="I429" i="17"/>
  <c r="N429" i="17" s="1"/>
  <c r="I430" i="17"/>
  <c r="I431" i="17"/>
  <c r="I432" i="17"/>
  <c r="I433" i="17"/>
  <c r="N433" i="17" s="1"/>
  <c r="I434" i="17"/>
  <c r="I435" i="17"/>
  <c r="I436" i="17"/>
  <c r="N436" i="17" s="1"/>
  <c r="I437" i="17"/>
  <c r="N437" i="17" s="1"/>
  <c r="I438" i="17"/>
  <c r="I439" i="17"/>
  <c r="I440" i="17"/>
  <c r="I441" i="17"/>
  <c r="N441" i="17" s="1"/>
  <c r="I442" i="17"/>
  <c r="I443" i="17"/>
  <c r="I444" i="17"/>
  <c r="N444" i="17" s="1"/>
  <c r="I445" i="17"/>
  <c r="N445" i="17" s="1"/>
  <c r="I446" i="17"/>
  <c r="I447" i="17"/>
  <c r="I448" i="17"/>
  <c r="I449" i="17"/>
  <c r="N449" i="17" s="1"/>
  <c r="I450" i="17"/>
  <c r="I451" i="17"/>
  <c r="I452" i="17"/>
  <c r="N452" i="17" s="1"/>
  <c r="I453" i="17"/>
  <c r="N453" i="17" s="1"/>
  <c r="I454" i="17"/>
  <c r="I455" i="17"/>
  <c r="I456" i="17"/>
  <c r="I457" i="17"/>
  <c r="N457" i="17" s="1"/>
  <c r="I458" i="17"/>
  <c r="I459" i="17"/>
  <c r="I460" i="17"/>
  <c r="N460" i="17" s="1"/>
  <c r="I461" i="17"/>
  <c r="I462" i="17"/>
  <c r="I463" i="17"/>
  <c r="I464" i="17"/>
  <c r="I465" i="17"/>
  <c r="N465" i="17" s="1"/>
  <c r="I466" i="17"/>
  <c r="I467" i="17"/>
  <c r="I468" i="17"/>
  <c r="I469" i="17"/>
  <c r="I470" i="17"/>
  <c r="I471" i="17"/>
  <c r="I472" i="17"/>
  <c r="I473" i="17"/>
  <c r="N473" i="17" s="1"/>
  <c r="I474" i="17"/>
  <c r="I475" i="17"/>
  <c r="I476" i="17"/>
  <c r="N476" i="17" s="1"/>
  <c r="I477" i="17"/>
  <c r="N477" i="17" s="1"/>
  <c r="I478" i="17"/>
  <c r="I479" i="17"/>
  <c r="I480" i="17"/>
  <c r="I481" i="17"/>
  <c r="N481" i="17" s="1"/>
  <c r="I482" i="17"/>
  <c r="I483" i="17"/>
  <c r="I484" i="17"/>
  <c r="N484" i="17" s="1"/>
  <c r="I485" i="17"/>
  <c r="N485" i="17" s="1"/>
  <c r="I486" i="17"/>
  <c r="I487" i="17"/>
  <c r="I488" i="17"/>
  <c r="I489" i="17"/>
  <c r="N489" i="17" s="1"/>
  <c r="I490" i="17"/>
  <c r="I491" i="17"/>
  <c r="I492" i="17"/>
  <c r="N492" i="17" s="1"/>
  <c r="I493" i="17"/>
  <c r="N493" i="17" s="1"/>
  <c r="I494" i="17"/>
  <c r="I495" i="17"/>
  <c r="I496" i="17"/>
  <c r="I497" i="17"/>
  <c r="N497" i="17" s="1"/>
  <c r="I498" i="17"/>
  <c r="I499" i="17"/>
  <c r="I500" i="17"/>
  <c r="N500" i="17" s="1"/>
  <c r="I501" i="17"/>
  <c r="N501" i="17" s="1"/>
  <c r="I502" i="17"/>
  <c r="I503" i="17"/>
  <c r="I504" i="17"/>
  <c r="I505" i="17"/>
  <c r="N505" i="17" s="1"/>
  <c r="I506" i="17"/>
  <c r="I507" i="17"/>
  <c r="I508" i="17"/>
  <c r="N508" i="17" s="1"/>
  <c r="I509" i="17"/>
  <c r="N509" i="17" s="1"/>
  <c r="I510" i="17"/>
  <c r="I511" i="17"/>
  <c r="I512" i="17"/>
  <c r="I513" i="17"/>
  <c r="N513" i="17" s="1"/>
  <c r="I514" i="17"/>
  <c r="I515" i="17"/>
  <c r="I516" i="17"/>
  <c r="I517" i="17"/>
  <c r="N517" i="17" s="1"/>
  <c r="I518" i="17"/>
  <c r="I519" i="17"/>
  <c r="I520" i="17"/>
  <c r="I521" i="17"/>
  <c r="N521" i="17" s="1"/>
  <c r="I522" i="17"/>
  <c r="I523" i="17"/>
  <c r="I524" i="17"/>
  <c r="N524" i="17" s="1"/>
  <c r="I525" i="17"/>
  <c r="I526" i="17"/>
  <c r="I527" i="17"/>
  <c r="I528" i="17"/>
  <c r="I529" i="17"/>
  <c r="N529" i="17" s="1"/>
  <c r="I530" i="17"/>
  <c r="I531" i="17"/>
  <c r="I532" i="17"/>
  <c r="N532" i="17" s="1"/>
  <c r="I533" i="17"/>
  <c r="I534" i="17"/>
  <c r="I535" i="17"/>
  <c r="I536" i="17"/>
  <c r="I537" i="17"/>
  <c r="N537" i="17" s="1"/>
  <c r="I538" i="17"/>
  <c r="I539" i="17"/>
  <c r="I540" i="17"/>
  <c r="N540" i="17" s="1"/>
  <c r="I541" i="17"/>
  <c r="N541" i="17" s="1"/>
  <c r="I542" i="17"/>
  <c r="I543" i="17"/>
  <c r="I544" i="17"/>
  <c r="I545" i="17"/>
  <c r="N545" i="17" s="1"/>
  <c r="I546" i="17"/>
  <c r="I547" i="17"/>
  <c r="I548" i="17"/>
  <c r="N548" i="17" s="1"/>
  <c r="I549" i="17"/>
  <c r="N549" i="17" s="1"/>
  <c r="I550" i="17"/>
  <c r="I551" i="17"/>
  <c r="I552" i="17"/>
  <c r="I553" i="17"/>
  <c r="N553" i="17" s="1"/>
  <c r="I554" i="17"/>
  <c r="I555" i="17"/>
  <c r="I556" i="17"/>
  <c r="I557" i="17"/>
  <c r="N557" i="17" s="1"/>
  <c r="I558" i="17"/>
  <c r="I559" i="17"/>
  <c r="I560" i="17"/>
  <c r="I561" i="17"/>
  <c r="N561" i="17" s="1"/>
  <c r="I562" i="17"/>
  <c r="I563" i="17"/>
  <c r="I564" i="17"/>
  <c r="N564" i="17" s="1"/>
  <c r="I565" i="17"/>
  <c r="N565" i="17" s="1"/>
  <c r="I566" i="17"/>
  <c r="I567" i="17"/>
  <c r="N567" i="17" s="1"/>
  <c r="I568" i="17"/>
  <c r="I569" i="17"/>
  <c r="N569" i="17" s="1"/>
  <c r="I570" i="17"/>
  <c r="I571" i="17"/>
  <c r="I572" i="17"/>
  <c r="N572" i="17" s="1"/>
  <c r="I573" i="17"/>
  <c r="N573" i="17" s="1"/>
  <c r="I574" i="17"/>
  <c r="I575" i="17"/>
  <c r="I576" i="17"/>
  <c r="I577" i="17"/>
  <c r="N577" i="17" s="1"/>
  <c r="I578" i="17"/>
  <c r="I579" i="17"/>
  <c r="I580" i="17"/>
  <c r="N580" i="17" s="1"/>
  <c r="I581" i="17"/>
  <c r="N581" i="17" s="1"/>
  <c r="I582" i="17"/>
  <c r="I583" i="17"/>
  <c r="I584" i="17"/>
  <c r="I585" i="17"/>
  <c r="N585" i="17" s="1"/>
  <c r="I586" i="17"/>
  <c r="I587" i="17"/>
  <c r="I588" i="17"/>
  <c r="N588" i="17" s="1"/>
  <c r="I589" i="17"/>
  <c r="I590" i="17"/>
  <c r="I591" i="17"/>
  <c r="I592" i="17"/>
  <c r="I593" i="17"/>
  <c r="N593" i="17" s="1"/>
  <c r="I594" i="17"/>
  <c r="I595" i="17"/>
  <c r="I596" i="17"/>
  <c r="N596" i="17" s="1"/>
  <c r="I597" i="17"/>
  <c r="I598" i="17"/>
  <c r="I599" i="17"/>
  <c r="I600" i="17"/>
  <c r="I601" i="17"/>
  <c r="N601" i="17" s="1"/>
  <c r="I602" i="17"/>
  <c r="I603" i="17"/>
  <c r="I604" i="17"/>
  <c r="N604" i="17" s="1"/>
  <c r="I605" i="17"/>
  <c r="N605" i="17" s="1"/>
  <c r="I606" i="17"/>
  <c r="I607" i="17"/>
  <c r="I608" i="17"/>
  <c r="I609" i="17"/>
  <c r="I610" i="17"/>
  <c r="I611" i="17"/>
  <c r="I612" i="17"/>
  <c r="N612" i="17" s="1"/>
  <c r="I613" i="17"/>
  <c r="N613" i="17" s="1"/>
  <c r="I614" i="17"/>
  <c r="I615" i="17"/>
  <c r="I616" i="17"/>
  <c r="I617" i="17"/>
  <c r="N617" i="17" s="1"/>
  <c r="I618" i="17"/>
  <c r="I619" i="17"/>
  <c r="I620" i="17"/>
  <c r="N620" i="17" s="1"/>
  <c r="I621" i="17"/>
  <c r="N621" i="17" s="1"/>
  <c r="I622" i="17"/>
  <c r="I623" i="17"/>
  <c r="I624" i="17"/>
  <c r="I625" i="17"/>
  <c r="N625" i="17" s="1"/>
  <c r="I626" i="17"/>
  <c r="I627" i="17"/>
  <c r="I628" i="17"/>
  <c r="I629" i="17"/>
  <c r="N629" i="17" s="1"/>
  <c r="I630" i="17"/>
  <c r="I631" i="17"/>
  <c r="N631" i="17" s="1"/>
  <c r="I632" i="17"/>
  <c r="I633" i="17"/>
  <c r="I634" i="17"/>
  <c r="I635" i="17"/>
  <c r="I636" i="17"/>
  <c r="N636" i="17" s="1"/>
  <c r="I637" i="17"/>
  <c r="N637" i="17" s="1"/>
  <c r="I638" i="17"/>
  <c r="I639" i="17"/>
  <c r="I640" i="17"/>
  <c r="I641" i="17"/>
  <c r="N641" i="17" s="1"/>
  <c r="I642" i="17"/>
  <c r="I643" i="17"/>
  <c r="I644" i="17"/>
  <c r="N644" i="17" s="1"/>
  <c r="I645" i="17"/>
  <c r="N645" i="17" s="1"/>
  <c r="I646" i="17"/>
  <c r="I647" i="17"/>
  <c r="I648" i="17"/>
  <c r="I649" i="17"/>
  <c r="N649" i="17" s="1"/>
  <c r="I650" i="17"/>
  <c r="I651" i="17"/>
  <c r="I652" i="17"/>
  <c r="N652" i="17" s="1"/>
  <c r="I653" i="17"/>
  <c r="I654" i="17"/>
  <c r="I655" i="17"/>
  <c r="I656" i="17"/>
  <c r="I657" i="17"/>
  <c r="N657" i="17" s="1"/>
  <c r="I658" i="17"/>
  <c r="I659" i="17"/>
  <c r="I660" i="17"/>
  <c r="N660" i="17" s="1"/>
  <c r="I661" i="17"/>
  <c r="I662" i="17"/>
  <c r="N662" i="17" s="1"/>
  <c r="I663" i="17"/>
  <c r="I664" i="17"/>
  <c r="I665" i="17"/>
  <c r="N665" i="17" s="1"/>
  <c r="I666" i="17"/>
  <c r="I667" i="17"/>
  <c r="I668" i="17"/>
  <c r="I669" i="17"/>
  <c r="N669" i="17" s="1"/>
  <c r="I670" i="17"/>
  <c r="I671" i="17"/>
  <c r="I672" i="17"/>
  <c r="I673" i="17"/>
  <c r="N673" i="17" s="1"/>
  <c r="I674" i="17"/>
  <c r="N674" i="17" s="1"/>
  <c r="I675" i="17"/>
  <c r="I676" i="17"/>
  <c r="N676" i="17" s="1"/>
  <c r="I677" i="17"/>
  <c r="N677" i="17" s="1"/>
  <c r="I678" i="17"/>
  <c r="I679" i="17"/>
  <c r="I680" i="17"/>
  <c r="I681" i="17"/>
  <c r="N681" i="17" s="1"/>
  <c r="I682" i="17"/>
  <c r="I683" i="17"/>
  <c r="I684" i="17"/>
  <c r="N684" i="17" s="1"/>
  <c r="I685" i="17"/>
  <c r="N685" i="17" s="1"/>
  <c r="I686" i="17"/>
  <c r="N686" i="17" s="1"/>
  <c r="I687" i="17"/>
  <c r="I688" i="17"/>
  <c r="I689" i="17"/>
  <c r="N689" i="17" s="1"/>
  <c r="I690" i="17"/>
  <c r="I691" i="17"/>
  <c r="I692" i="17"/>
  <c r="N692" i="17" s="1"/>
  <c r="I693" i="17"/>
  <c r="N693" i="17" s="1"/>
  <c r="I694" i="17"/>
  <c r="I695" i="17"/>
  <c r="I696" i="17"/>
  <c r="I697" i="17"/>
  <c r="N697" i="17" s="1"/>
  <c r="I698" i="17"/>
  <c r="I699" i="17"/>
  <c r="I700" i="17"/>
  <c r="N700" i="17" s="1"/>
  <c r="I701" i="17"/>
  <c r="N701" i="17" s="1"/>
  <c r="I702" i="17"/>
  <c r="I703" i="17"/>
  <c r="I704" i="17"/>
  <c r="I705" i="17"/>
  <c r="N705" i="17" s="1"/>
  <c r="I706" i="17"/>
  <c r="I707" i="17"/>
  <c r="I708" i="17"/>
  <c r="N708" i="17" s="1"/>
  <c r="I709" i="17"/>
  <c r="N709" i="17" s="1"/>
  <c r="I710" i="17"/>
  <c r="I711" i="17"/>
  <c r="I712" i="17"/>
  <c r="I713" i="17"/>
  <c r="N713" i="17" s="1"/>
  <c r="I714" i="17"/>
  <c r="I715" i="17"/>
  <c r="I716" i="17"/>
  <c r="N716" i="17" s="1"/>
  <c r="I717" i="17"/>
  <c r="I718" i="17"/>
  <c r="I719" i="17"/>
  <c r="I720" i="17"/>
  <c r="I721" i="17"/>
  <c r="N721" i="17" s="1"/>
  <c r="I722" i="17"/>
  <c r="I723" i="17"/>
  <c r="I724" i="17"/>
  <c r="N724" i="17" s="1"/>
  <c r="I725" i="17"/>
  <c r="I726" i="17"/>
  <c r="I727" i="17"/>
  <c r="I728" i="17"/>
  <c r="I729" i="17"/>
  <c r="N729" i="17" s="1"/>
  <c r="I730" i="17"/>
  <c r="I731" i="17"/>
  <c r="I732" i="17"/>
  <c r="N732" i="17" s="1"/>
  <c r="I733" i="17"/>
  <c r="N733" i="17" s="1"/>
  <c r="I734" i="17"/>
  <c r="I735" i="17"/>
  <c r="I736" i="17"/>
  <c r="I737" i="17"/>
  <c r="N737" i="17" s="1"/>
  <c r="I738" i="17"/>
  <c r="I739" i="17"/>
  <c r="I740" i="17"/>
  <c r="N740" i="17" s="1"/>
  <c r="I741" i="17"/>
  <c r="N741" i="17" s="1"/>
  <c r="I742" i="17"/>
  <c r="I743" i="17"/>
  <c r="I744" i="17"/>
  <c r="I745" i="17"/>
  <c r="N745" i="17" s="1"/>
  <c r="I746" i="17"/>
  <c r="N746" i="17" s="1"/>
  <c r="I747" i="17"/>
  <c r="I748" i="17"/>
  <c r="N748" i="17" s="1"/>
  <c r="I749" i="17"/>
  <c r="N749" i="17" s="1"/>
  <c r="I750" i="17"/>
  <c r="I751" i="17"/>
  <c r="N751" i="17" s="1"/>
  <c r="I752" i="17"/>
  <c r="I753" i="17"/>
  <c r="N753" i="17" s="1"/>
  <c r="I754" i="17"/>
  <c r="I755" i="17"/>
  <c r="I756" i="17"/>
  <c r="N756" i="17" s="1"/>
  <c r="I757" i="17"/>
  <c r="N757" i="17" s="1"/>
  <c r="I758" i="17"/>
  <c r="I759" i="17"/>
  <c r="I760" i="17"/>
  <c r="I761" i="17"/>
  <c r="N761" i="17" s="1"/>
  <c r="I762" i="17"/>
  <c r="I763" i="17"/>
  <c r="I764" i="17"/>
  <c r="N764" i="17" s="1"/>
  <c r="I765" i="17"/>
  <c r="N765" i="17" s="1"/>
  <c r="I766" i="17"/>
  <c r="I767" i="17"/>
  <c r="I768" i="17"/>
  <c r="I769" i="17"/>
  <c r="N769" i="17" s="1"/>
  <c r="I770" i="17"/>
  <c r="I771" i="17"/>
  <c r="I772" i="17"/>
  <c r="N772" i="17" s="1"/>
  <c r="I773" i="17"/>
  <c r="N773" i="17" s="1"/>
  <c r="I774" i="17"/>
  <c r="N774" i="17" s="1"/>
  <c r="I775" i="17"/>
  <c r="I776" i="17"/>
  <c r="I777" i="17"/>
  <c r="N777" i="17" s="1"/>
  <c r="I778" i="17"/>
  <c r="I779" i="17"/>
  <c r="I780" i="17"/>
  <c r="I781" i="17"/>
  <c r="I782" i="17"/>
  <c r="I783" i="17"/>
  <c r="I784" i="17"/>
  <c r="I785" i="17"/>
  <c r="N785" i="17" s="1"/>
  <c r="I786" i="17"/>
  <c r="I787" i="17"/>
  <c r="I788" i="17"/>
  <c r="N788" i="17" s="1"/>
  <c r="I789" i="17"/>
  <c r="I790" i="17"/>
  <c r="I791" i="17"/>
  <c r="I792" i="17"/>
  <c r="I793" i="17"/>
  <c r="N793" i="17" s="1"/>
  <c r="I794" i="17"/>
  <c r="I795" i="17"/>
  <c r="I796" i="17"/>
  <c r="N796" i="17" s="1"/>
  <c r="I797" i="17"/>
  <c r="N797" i="17" s="1"/>
  <c r="I798" i="17"/>
  <c r="I799" i="17"/>
  <c r="I800" i="17"/>
  <c r="I801" i="17"/>
  <c r="N801" i="17" s="1"/>
  <c r="I802" i="17"/>
  <c r="I803" i="17"/>
  <c r="I804" i="17"/>
  <c r="N804" i="17" s="1"/>
  <c r="I805" i="17"/>
  <c r="N805" i="17" s="1"/>
  <c r="I806" i="17"/>
  <c r="I807" i="17"/>
  <c r="I808" i="17"/>
  <c r="I809" i="17"/>
  <c r="N809" i="17" s="1"/>
  <c r="I810" i="17"/>
  <c r="I811" i="17"/>
  <c r="I812" i="17"/>
  <c r="N812" i="17" s="1"/>
  <c r="I813" i="17"/>
  <c r="N813" i="17" s="1"/>
  <c r="I814" i="17"/>
  <c r="I815" i="17"/>
  <c r="I816" i="17"/>
  <c r="I817" i="17"/>
  <c r="N817" i="17" s="1"/>
  <c r="I818" i="17"/>
  <c r="N818" i="17" s="1"/>
  <c r="I819" i="17"/>
  <c r="I820" i="17"/>
  <c r="N820" i="17" s="1"/>
  <c r="I821" i="17"/>
  <c r="N821" i="17" s="1"/>
  <c r="I822" i="17"/>
  <c r="I823" i="17"/>
  <c r="N823" i="17" s="1"/>
  <c r="I824" i="17"/>
  <c r="I825" i="17"/>
  <c r="N825" i="17" s="1"/>
  <c r="I826" i="17"/>
  <c r="I827" i="17"/>
  <c r="I828" i="17"/>
  <c r="N828" i="17" s="1"/>
  <c r="I829" i="17"/>
  <c r="N829" i="17" s="1"/>
  <c r="I830" i="17"/>
  <c r="I831" i="17"/>
  <c r="I832" i="17"/>
  <c r="N832" i="17" s="1"/>
  <c r="I833" i="17"/>
  <c r="N833" i="17" s="1"/>
  <c r="I834" i="17"/>
  <c r="I835" i="17"/>
  <c r="I836" i="17"/>
  <c r="N836" i="17" s="1"/>
  <c r="I837" i="17"/>
  <c r="N837" i="17" s="1"/>
  <c r="I838" i="17"/>
  <c r="I839" i="17"/>
  <c r="I840" i="17"/>
  <c r="I841" i="17"/>
  <c r="N841" i="17" s="1"/>
  <c r="I842" i="17"/>
  <c r="I843" i="17"/>
  <c r="I844" i="17"/>
  <c r="N844" i="17" s="1"/>
  <c r="I845" i="17"/>
  <c r="I846" i="17"/>
  <c r="I847" i="17"/>
  <c r="I848" i="17"/>
  <c r="I849" i="17"/>
  <c r="N849" i="17" s="1"/>
  <c r="I850" i="17"/>
  <c r="I851" i="17"/>
  <c r="I852" i="17"/>
  <c r="N852" i="17" s="1"/>
  <c r="I853" i="17"/>
  <c r="I854" i="17"/>
  <c r="I855" i="17"/>
  <c r="I856" i="17"/>
  <c r="N856" i="17" s="1"/>
  <c r="I857" i="17"/>
  <c r="N857" i="17" s="1"/>
  <c r="I858" i="17"/>
  <c r="I859" i="17"/>
  <c r="I860" i="17"/>
  <c r="N860" i="17" s="1"/>
  <c r="I861" i="17"/>
  <c r="N861" i="17" s="1"/>
  <c r="I862" i="17"/>
  <c r="I863" i="17"/>
  <c r="I864" i="17"/>
  <c r="I865" i="17"/>
  <c r="N865" i="17" s="1"/>
  <c r="I866" i="17"/>
  <c r="I867" i="17"/>
  <c r="I868" i="17"/>
  <c r="N868" i="17" s="1"/>
  <c r="I869" i="17"/>
  <c r="N869" i="17" s="1"/>
  <c r="I870" i="17"/>
  <c r="N870" i="17" s="1"/>
  <c r="I871" i="17"/>
  <c r="N871" i="17" s="1"/>
  <c r="I872" i="17"/>
  <c r="I873" i="17"/>
  <c r="I874" i="17"/>
  <c r="I875" i="17"/>
  <c r="I876" i="17"/>
  <c r="N876" i="17" s="1"/>
  <c r="I877" i="17"/>
  <c r="N877" i="17" s="1"/>
  <c r="I878" i="17"/>
  <c r="N878" i="17" s="1"/>
  <c r="I879" i="17"/>
  <c r="I880" i="17"/>
  <c r="I881" i="17"/>
  <c r="N881" i="17" s="1"/>
  <c r="I882" i="17"/>
  <c r="I883" i="17"/>
  <c r="I884" i="17"/>
  <c r="I885" i="17"/>
  <c r="N885" i="17" s="1"/>
  <c r="I886" i="17"/>
  <c r="I887" i="17"/>
  <c r="I888" i="17"/>
  <c r="N888" i="17" s="1"/>
  <c r="I889" i="17"/>
  <c r="N889" i="17" s="1"/>
  <c r="I890" i="17"/>
  <c r="N890" i="17" s="1"/>
  <c r="I891" i="17"/>
  <c r="I892" i="17"/>
  <c r="N892" i="17" s="1"/>
  <c r="I893" i="17"/>
  <c r="N893" i="17" s="1"/>
  <c r="I894" i="17"/>
  <c r="I895" i="17"/>
  <c r="N895" i="17" s="1"/>
  <c r="I896" i="17"/>
  <c r="I897" i="17"/>
  <c r="N897" i="17" s="1"/>
  <c r="I898" i="17"/>
  <c r="I899" i="17"/>
  <c r="I900" i="17"/>
  <c r="N900" i="17" s="1"/>
  <c r="I901" i="17"/>
  <c r="N901" i="17" s="1"/>
  <c r="I902" i="17"/>
  <c r="I903" i="17"/>
  <c r="I904" i="17"/>
  <c r="I905" i="17"/>
  <c r="N905" i="17" s="1"/>
  <c r="I906" i="17"/>
  <c r="I907" i="17"/>
  <c r="I908" i="17"/>
  <c r="N908" i="17" s="1"/>
  <c r="I909" i="17"/>
  <c r="I910" i="17"/>
  <c r="I911" i="17"/>
  <c r="I912" i="17"/>
  <c r="I913" i="17"/>
  <c r="N913" i="17" s="1"/>
  <c r="I914" i="17"/>
  <c r="I915" i="17"/>
  <c r="I916" i="17"/>
  <c r="I917" i="17"/>
  <c r="I918" i="17"/>
  <c r="N918" i="17" s="1"/>
  <c r="I919" i="17"/>
  <c r="I920" i="17"/>
  <c r="I921" i="17"/>
  <c r="I922" i="17"/>
  <c r="I923" i="17"/>
  <c r="I924" i="17"/>
  <c r="N924" i="17" s="1"/>
  <c r="I925" i="17"/>
  <c r="N925" i="17" s="1"/>
  <c r="I926" i="17"/>
  <c r="I927" i="17"/>
  <c r="I928" i="17"/>
  <c r="I929" i="17"/>
  <c r="N929" i="17" s="1"/>
  <c r="I930" i="17"/>
  <c r="I931" i="17"/>
  <c r="I932" i="17"/>
  <c r="N932" i="17" s="1"/>
  <c r="I933" i="17"/>
  <c r="N933" i="17" s="1"/>
  <c r="I934" i="17"/>
  <c r="N934" i="17" s="1"/>
  <c r="I935" i="17"/>
  <c r="I936" i="17"/>
  <c r="I937" i="17"/>
  <c r="N937" i="17" s="1"/>
  <c r="I938" i="17"/>
  <c r="I939" i="17"/>
  <c r="I940" i="17"/>
  <c r="N940" i="17" s="1"/>
  <c r="I941" i="17"/>
  <c r="N941" i="17" s="1"/>
  <c r="I942" i="17"/>
  <c r="I943" i="17"/>
  <c r="N943" i="17" s="1"/>
  <c r="I944" i="17"/>
  <c r="I945" i="17"/>
  <c r="N945" i="17" s="1"/>
  <c r="I946" i="17"/>
  <c r="I947" i="17"/>
  <c r="I948" i="17"/>
  <c r="N948" i="17" s="1"/>
  <c r="I949" i="17"/>
  <c r="N949" i="17" s="1"/>
  <c r="I950" i="17"/>
  <c r="I951" i="17"/>
  <c r="I952" i="17"/>
  <c r="I953" i="17"/>
  <c r="N953" i="17" s="1"/>
  <c r="I954" i="17"/>
  <c r="I955" i="17"/>
  <c r="I956" i="17"/>
  <c r="N956" i="17" s="1"/>
  <c r="I957" i="17"/>
  <c r="N957" i="17" s="1"/>
  <c r="I958" i="17"/>
  <c r="I959" i="17"/>
  <c r="N959" i="17" s="1"/>
  <c r="I960" i="17"/>
  <c r="I961" i="17"/>
  <c r="N961" i="17" s="1"/>
  <c r="I962" i="17"/>
  <c r="N962" i="17" s="1"/>
  <c r="I963" i="17"/>
  <c r="I964" i="17"/>
  <c r="N964" i="17" s="1"/>
  <c r="I965" i="17"/>
  <c r="N965" i="17" s="1"/>
  <c r="I966" i="17"/>
  <c r="N966" i="17" s="1"/>
  <c r="I967" i="17"/>
  <c r="I968" i="17"/>
  <c r="N968" i="17" s="1"/>
  <c r="I969" i="17"/>
  <c r="N969" i="17" s="1"/>
  <c r="I970" i="17"/>
  <c r="N970" i="17" s="1"/>
  <c r="I971" i="17"/>
  <c r="I972" i="17"/>
  <c r="N972" i="17" s="1"/>
  <c r="I973" i="17"/>
  <c r="N973" i="17" s="1"/>
  <c r="I974" i="17"/>
  <c r="I975" i="17"/>
  <c r="I976" i="17"/>
  <c r="I977" i="17"/>
  <c r="N977" i="17" s="1"/>
  <c r="I978" i="17"/>
  <c r="I979" i="17"/>
  <c r="I980" i="17"/>
  <c r="N980" i="17" s="1"/>
  <c r="I981" i="17"/>
  <c r="I982" i="17"/>
  <c r="I983" i="17"/>
  <c r="I984" i="17"/>
  <c r="I985" i="17"/>
  <c r="I986" i="17"/>
  <c r="I987" i="17"/>
  <c r="I988" i="17"/>
  <c r="N988" i="17" s="1"/>
  <c r="I989" i="17"/>
  <c r="I990" i="17"/>
  <c r="I991" i="17"/>
  <c r="N991" i="17" s="1"/>
  <c r="I992" i="17"/>
  <c r="I993" i="17"/>
  <c r="N993" i="17" s="1"/>
  <c r="I994" i="17"/>
  <c r="I995" i="17"/>
  <c r="I996" i="17"/>
  <c r="N996" i="17" s="1"/>
  <c r="I997" i="17"/>
  <c r="N997" i="17" s="1"/>
  <c r="I998" i="17"/>
  <c r="I999" i="17"/>
  <c r="I1000" i="17"/>
  <c r="N1000" i="17" s="1"/>
  <c r="I1001" i="17"/>
  <c r="N1001" i="17" s="1"/>
  <c r="N49" i="17"/>
  <c r="N116" i="17"/>
  <c r="N193" i="17"/>
  <c r="N204" i="17"/>
  <c r="N265" i="17"/>
  <c r="N297" i="17"/>
  <c r="N316" i="17"/>
  <c r="N329" i="17"/>
  <c r="N361" i="17"/>
  <c r="N364" i="17"/>
  <c r="N390" i="17"/>
  <c r="N393" i="17"/>
  <c r="N406" i="17"/>
  <c r="N420" i="17"/>
  <c r="N425" i="17"/>
  <c r="N430" i="17"/>
  <c r="N438" i="17"/>
  <c r="N468" i="17"/>
  <c r="N494" i="17"/>
  <c r="N502" i="17"/>
  <c r="N516" i="17"/>
  <c r="N526" i="17"/>
  <c r="N534" i="17"/>
  <c r="N542" i="17"/>
  <c r="N556" i="17"/>
  <c r="N558" i="17"/>
  <c r="N574" i="17"/>
  <c r="N582" i="17"/>
  <c r="N590" i="17"/>
  <c r="N606" i="17"/>
  <c r="N609" i="17"/>
  <c r="N614" i="17"/>
  <c r="N628" i="17"/>
  <c r="N630" i="17"/>
  <c r="N633" i="17"/>
  <c r="N668" i="17"/>
  <c r="N670" i="17"/>
  <c r="N678" i="17"/>
  <c r="N694" i="17"/>
  <c r="N702" i="17"/>
  <c r="N718" i="17"/>
  <c r="N726" i="17"/>
  <c r="N742" i="17"/>
  <c r="N750" i="17"/>
  <c r="N766" i="17"/>
  <c r="N780" i="17"/>
  <c r="N782" i="17"/>
  <c r="N790" i="17"/>
  <c r="N806" i="17"/>
  <c r="N814" i="17"/>
  <c r="N830" i="17"/>
  <c r="N838" i="17"/>
  <c r="N854" i="17"/>
  <c r="N862" i="17"/>
  <c r="N873" i="17"/>
  <c r="N884" i="17"/>
  <c r="N886" i="17"/>
  <c r="N894" i="17"/>
  <c r="N902" i="17"/>
  <c r="N921" i="17"/>
  <c r="N926" i="17"/>
  <c r="N942" i="17"/>
  <c r="N950" i="17"/>
  <c r="N958" i="17"/>
  <c r="N974" i="17"/>
  <c r="N982" i="17"/>
  <c r="N985" i="17"/>
  <c r="N990" i="17"/>
  <c r="N998" i="17"/>
  <c r="N6" i="17"/>
  <c r="N7" i="17"/>
  <c r="N22" i="17"/>
  <c r="N23" i="17"/>
  <c r="N38" i="17"/>
  <c r="N39" i="17"/>
  <c r="N54" i="17"/>
  <c r="N55" i="17"/>
  <c r="N63" i="17"/>
  <c r="N70" i="17"/>
  <c r="N71" i="17"/>
  <c r="N79" i="17"/>
  <c r="N86" i="17"/>
  <c r="N87" i="17"/>
  <c r="N95" i="17"/>
  <c r="N102" i="17"/>
  <c r="N103" i="17"/>
  <c r="N111" i="17"/>
  <c r="N118" i="17"/>
  <c r="N119" i="17"/>
  <c r="N126" i="17"/>
  <c r="N127" i="17"/>
  <c r="N134" i="17"/>
  <c r="N135" i="17"/>
  <c r="N142" i="17"/>
  <c r="N143" i="17"/>
  <c r="N150" i="17"/>
  <c r="N151" i="17"/>
  <c r="N158" i="17"/>
  <c r="N159" i="17"/>
  <c r="N166" i="17"/>
  <c r="N167" i="17"/>
  <c r="N174" i="17"/>
  <c r="N175" i="17"/>
  <c r="N182" i="17"/>
  <c r="N183" i="17"/>
  <c r="N190" i="17"/>
  <c r="N191" i="17"/>
  <c r="N198" i="17"/>
  <c r="N199" i="17"/>
  <c r="N206" i="17"/>
  <c r="N207" i="17"/>
  <c r="N214" i="17"/>
  <c r="N215" i="17"/>
  <c r="N222" i="17"/>
  <c r="N223" i="17"/>
  <c r="N230" i="17"/>
  <c r="N231" i="17"/>
  <c r="N238" i="17"/>
  <c r="N239" i="17"/>
  <c r="N246" i="17"/>
  <c r="N247" i="17"/>
  <c r="N254" i="17"/>
  <c r="N255" i="17"/>
  <c r="N270" i="17"/>
  <c r="N271" i="17"/>
  <c r="N286" i="17"/>
  <c r="N287" i="17"/>
  <c r="N295" i="17"/>
  <c r="N302" i="17"/>
  <c r="N303" i="17"/>
  <c r="N311" i="17"/>
  <c r="N318" i="17"/>
  <c r="N319" i="17"/>
  <c r="N326" i="17"/>
  <c r="N327" i="17"/>
  <c r="N334" i="17"/>
  <c r="N335" i="17"/>
  <c r="N342" i="17"/>
  <c r="N343" i="17"/>
  <c r="N351" i="17"/>
  <c r="N358" i="17"/>
  <c r="N359" i="17"/>
  <c r="N366" i="17"/>
  <c r="N367" i="17"/>
  <c r="N375" i="17"/>
  <c r="N382" i="17"/>
  <c r="N383" i="17"/>
  <c r="N391" i="17"/>
  <c r="N407" i="17"/>
  <c r="N414" i="17"/>
  <c r="N415" i="17"/>
  <c r="N422" i="17"/>
  <c r="N423" i="17"/>
  <c r="N431" i="17"/>
  <c r="N439" i="17"/>
  <c r="N446" i="17"/>
  <c r="N447" i="17"/>
  <c r="N454" i="17"/>
  <c r="N455" i="17"/>
  <c r="N463" i="17"/>
  <c r="N470" i="17"/>
  <c r="N471" i="17"/>
  <c r="N478" i="17"/>
  <c r="N479" i="17"/>
  <c r="N495" i="17"/>
  <c r="N503" i="17"/>
  <c r="N518" i="17"/>
  <c r="N519" i="17"/>
  <c r="N527" i="17"/>
  <c r="N535" i="17"/>
  <c r="N543" i="17"/>
  <c r="N551" i="17"/>
  <c r="N559" i="17"/>
  <c r="N566" i="17"/>
  <c r="N575" i="17"/>
  <c r="N583" i="17"/>
  <c r="N591" i="17"/>
  <c r="N599" i="17"/>
  <c r="N607" i="17"/>
  <c r="N615" i="17"/>
  <c r="N623" i="17"/>
  <c r="N638" i="17"/>
  <c r="N639" i="17"/>
  <c r="N654" i="17"/>
  <c r="N655" i="17"/>
  <c r="N663" i="17"/>
  <c r="N671" i="17"/>
  <c r="N679" i="17"/>
  <c r="N687" i="17"/>
  <c r="N695" i="17"/>
  <c r="N703" i="17"/>
  <c r="N711" i="17"/>
  <c r="N719" i="17"/>
  <c r="N727" i="17"/>
  <c r="N743" i="17"/>
  <c r="N767" i="17"/>
  <c r="N775" i="17"/>
  <c r="N783" i="17"/>
  <c r="N791" i="17"/>
  <c r="N799" i="17"/>
  <c r="N807" i="17"/>
  <c r="N815" i="17"/>
  <c r="N831" i="17"/>
  <c r="N839" i="17"/>
  <c r="N855" i="17"/>
  <c r="N863" i="17"/>
  <c r="N879" i="17"/>
  <c r="N887" i="17"/>
  <c r="N903" i="17"/>
  <c r="N911" i="17"/>
  <c r="N919" i="17"/>
  <c r="N927" i="17"/>
  <c r="N951" i="17"/>
  <c r="N967" i="17"/>
  <c r="N975" i="17"/>
  <c r="N978" i="17"/>
  <c r="N983" i="17"/>
  <c r="N986" i="17"/>
  <c r="N999" i="17"/>
  <c r="N994" i="17"/>
  <c r="N954" i="17"/>
  <c r="N946" i="17"/>
  <c r="N938" i="17"/>
  <c r="N930" i="17"/>
  <c r="N914" i="17"/>
  <c r="N906" i="17"/>
  <c r="N898" i="17"/>
  <c r="N882" i="17"/>
  <c r="N874" i="17"/>
  <c r="N866" i="17"/>
  <c r="N858" i="17"/>
  <c r="N842" i="17"/>
  <c r="N834" i="17"/>
  <c r="N826" i="17"/>
  <c r="N810" i="17"/>
  <c r="N802" i="17"/>
  <c r="N794" i="17"/>
  <c r="N786" i="17"/>
  <c r="N770" i="17"/>
  <c r="N762" i="17"/>
  <c r="N754" i="17"/>
  <c r="N738" i="17"/>
  <c r="N730" i="17"/>
  <c r="N722" i="17"/>
  <c r="N714" i="17"/>
  <c r="N698" i="17"/>
  <c r="N690" i="17"/>
  <c r="N682" i="17"/>
  <c r="N666" i="17"/>
  <c r="N658" i="17"/>
  <c r="N650" i="17"/>
  <c r="N642" i="17"/>
  <c r="N626" i="17"/>
  <c r="N618" i="17"/>
  <c r="N610" i="17"/>
  <c r="N602" i="17"/>
  <c r="N594" i="17"/>
  <c r="N586" i="17"/>
  <c r="N578" i="17"/>
  <c r="N570" i="17"/>
  <c r="N546" i="17"/>
  <c r="N538" i="17"/>
  <c r="N530" i="17"/>
  <c r="N522" i="17"/>
  <c r="N514" i="17"/>
  <c r="N506" i="17"/>
  <c r="N498" i="17"/>
  <c r="N482" i="17"/>
  <c r="N474" i="17"/>
  <c r="N466" i="17"/>
  <c r="N458" i="17"/>
  <c r="N450" i="17"/>
  <c r="N442" i="17"/>
  <c r="N434" i="17"/>
  <c r="N426" i="17"/>
  <c r="N418" i="17"/>
  <c r="N402" i="17"/>
  <c r="N394" i="17"/>
  <c r="N386" i="17"/>
  <c r="N378" i="17"/>
  <c r="N370" i="17"/>
  <c r="N362" i="17"/>
  <c r="N354" i="17"/>
  <c r="N346" i="17"/>
  <c r="N330" i="17"/>
  <c r="N322" i="17"/>
  <c r="N314" i="17"/>
  <c r="N306" i="17"/>
  <c r="N298" i="17"/>
  <c r="N290" i="17"/>
  <c r="N282" i="17"/>
  <c r="N266" i="17"/>
  <c r="N258" i="17"/>
  <c r="N250" i="17"/>
  <c r="N242" i="17"/>
  <c r="N234" i="17"/>
  <c r="N226" i="17"/>
  <c r="N218" i="17"/>
  <c r="N210" i="17"/>
  <c r="N194" i="17"/>
  <c r="N186" i="17"/>
  <c r="N178" i="17"/>
  <c r="N170" i="17"/>
  <c r="N162" i="17"/>
  <c r="N154" i="17"/>
  <c r="N146" i="17"/>
  <c r="N138" i="17"/>
  <c r="N122" i="17"/>
  <c r="N114" i="17"/>
  <c r="N106" i="17"/>
  <c r="N98" i="17"/>
  <c r="N90" i="17"/>
  <c r="N82" i="17"/>
  <c r="N74" i="17"/>
  <c r="N66" i="17"/>
  <c r="N50" i="17"/>
  <c r="N42" i="17"/>
  <c r="N34" i="17"/>
  <c r="N26" i="17"/>
  <c r="N10" i="17"/>
  <c r="N2" i="17"/>
  <c r="N922" i="17"/>
  <c r="N850" i="17"/>
  <c r="N778" i="17"/>
  <c r="N706" i="17"/>
  <c r="N634" i="17"/>
  <c r="N554" i="17"/>
  <c r="N490" i="17"/>
  <c r="N410" i="17"/>
  <c r="N338" i="17"/>
  <c r="N274" i="17"/>
  <c r="N202" i="17"/>
  <c r="N130" i="17"/>
  <c r="N58" i="17"/>
  <c r="N989" i="17"/>
  <c r="N981" i="17"/>
  <c r="N917" i="17"/>
  <c r="N909" i="17"/>
  <c r="N853" i="17"/>
  <c r="N845" i="17"/>
  <c r="N789" i="17"/>
  <c r="N781" i="17"/>
  <c r="N725" i="17"/>
  <c r="N717" i="17"/>
  <c r="N661" i="17"/>
  <c r="N653" i="17"/>
  <c r="N597" i="17"/>
  <c r="N589" i="17"/>
  <c r="N533" i="17"/>
  <c r="N525" i="17"/>
  <c r="N469" i="17"/>
  <c r="N461" i="17"/>
  <c r="N405" i="17"/>
  <c r="N397" i="17"/>
  <c r="N341" i="17"/>
  <c r="N333" i="17"/>
  <c r="N277" i="17"/>
  <c r="N269" i="17"/>
  <c r="N213" i="17"/>
  <c r="N205" i="17"/>
  <c r="N165" i="17"/>
  <c r="N157" i="17"/>
  <c r="N117" i="17"/>
  <c r="N109" i="17"/>
  <c r="N53" i="17"/>
  <c r="N18" i="17"/>
  <c r="N13" i="17"/>
  <c r="K2" i="17"/>
  <c r="N3" i="17"/>
  <c r="N8" i="17"/>
  <c r="N11" i="17"/>
  <c r="N14" i="17"/>
  <c r="N15" i="17"/>
  <c r="N16" i="17"/>
  <c r="N19" i="17"/>
  <c r="N24" i="17"/>
  <c r="N27" i="17"/>
  <c r="N30" i="17"/>
  <c r="N31" i="17"/>
  <c r="N32" i="17"/>
  <c r="N35" i="17"/>
  <c r="N40" i="17"/>
  <c r="N43" i="17"/>
  <c r="N46" i="17"/>
  <c r="N47" i="17"/>
  <c r="N48" i="17"/>
  <c r="N51" i="17"/>
  <c r="N56" i="17"/>
  <c r="N59" i="17"/>
  <c r="N62" i="17"/>
  <c r="N64" i="17"/>
  <c r="N67" i="17"/>
  <c r="N72" i="17"/>
  <c r="N75" i="17"/>
  <c r="N78" i="17"/>
  <c r="N80" i="17"/>
  <c r="N83" i="17"/>
  <c r="N88" i="17"/>
  <c r="N91" i="17"/>
  <c r="N94" i="17"/>
  <c r="N96" i="17"/>
  <c r="N99" i="17"/>
  <c r="N104" i="17"/>
  <c r="N107" i="17"/>
  <c r="N110" i="17"/>
  <c r="N112" i="17"/>
  <c r="N115" i="17"/>
  <c r="N120" i="17"/>
  <c r="N123" i="17"/>
  <c r="N128" i="17"/>
  <c r="N131" i="17"/>
  <c r="N136" i="17"/>
  <c r="N139" i="17"/>
  <c r="N144" i="17"/>
  <c r="N147" i="17"/>
  <c r="N152" i="17"/>
  <c r="N155" i="17"/>
  <c r="N160" i="17"/>
  <c r="N163" i="17"/>
  <c r="N168" i="17"/>
  <c r="N171" i="17"/>
  <c r="N176" i="17"/>
  <c r="N179" i="17"/>
  <c r="N184" i="17"/>
  <c r="N187" i="17"/>
  <c r="N192" i="17"/>
  <c r="N195" i="17"/>
  <c r="N200" i="17"/>
  <c r="N203" i="17"/>
  <c r="N208" i="17"/>
  <c r="N211" i="17"/>
  <c r="N216" i="17"/>
  <c r="N219" i="17"/>
  <c r="N224" i="17"/>
  <c r="N227" i="17"/>
  <c r="N232" i="17"/>
  <c r="N235" i="17"/>
  <c r="N240" i="17"/>
  <c r="N243" i="17"/>
  <c r="N248" i="17"/>
  <c r="N249" i="17"/>
  <c r="N251" i="17"/>
  <c r="N256" i="17"/>
  <c r="N259" i="17"/>
  <c r="N262" i="17"/>
  <c r="N263" i="17"/>
  <c r="N264" i="17"/>
  <c r="N267" i="17"/>
  <c r="N272" i="17"/>
  <c r="N275" i="17"/>
  <c r="N278" i="17"/>
  <c r="N279" i="17"/>
  <c r="N280" i="17"/>
  <c r="N283" i="17"/>
  <c r="N288" i="17"/>
  <c r="N291" i="17"/>
  <c r="N294" i="17"/>
  <c r="N296" i="17"/>
  <c r="N299" i="17"/>
  <c r="N304" i="17"/>
  <c r="N307" i="17"/>
  <c r="N310" i="17"/>
  <c r="N312" i="17"/>
  <c r="N315" i="17"/>
  <c r="N320" i="17"/>
  <c r="N323" i="17"/>
  <c r="N328" i="17"/>
  <c r="N331" i="17"/>
  <c r="N336" i="17"/>
  <c r="N339" i="17"/>
  <c r="N344" i="17"/>
  <c r="N347" i="17"/>
  <c r="N350" i="17"/>
  <c r="N352" i="17"/>
  <c r="N355" i="17"/>
  <c r="N360" i="17"/>
  <c r="N363" i="17"/>
  <c r="N368" i="17"/>
  <c r="N371" i="17"/>
  <c r="N374" i="17"/>
  <c r="N376" i="17"/>
  <c r="N379" i="17"/>
  <c r="N384" i="17"/>
  <c r="N387" i="17"/>
  <c r="N392" i="17"/>
  <c r="N395" i="17"/>
  <c r="N398" i="17"/>
  <c r="N399" i="17"/>
  <c r="N400" i="17"/>
  <c r="N403" i="17"/>
  <c r="N408" i="17"/>
  <c r="N411" i="17"/>
  <c r="N416" i="17"/>
  <c r="N419" i="17"/>
  <c r="N424" i="17"/>
  <c r="N427" i="17"/>
  <c r="N432" i="17"/>
  <c r="N435" i="17"/>
  <c r="N440" i="17"/>
  <c r="N443" i="17"/>
  <c r="N448" i="17"/>
  <c r="N451" i="17"/>
  <c r="N456" i="17"/>
  <c r="N459" i="17"/>
  <c r="N462" i="17"/>
  <c r="N464" i="17"/>
  <c r="N467" i="17"/>
  <c r="N472" i="17"/>
  <c r="N475" i="17"/>
  <c r="N480" i="17"/>
  <c r="N483" i="17"/>
  <c r="N486" i="17"/>
  <c r="N487" i="17"/>
  <c r="N488" i="17"/>
  <c r="N491" i="17"/>
  <c r="N496" i="17"/>
  <c r="N499" i="17"/>
  <c r="N504" i="17"/>
  <c r="N507" i="17"/>
  <c r="N510" i="17"/>
  <c r="N511" i="17"/>
  <c r="N512" i="17"/>
  <c r="N515" i="17"/>
  <c r="N520" i="17"/>
  <c r="N523" i="17"/>
  <c r="N528" i="17"/>
  <c r="N531" i="17"/>
  <c r="N536" i="17"/>
  <c r="N539" i="17"/>
  <c r="N544" i="17"/>
  <c r="N547" i="17"/>
  <c r="N550" i="17"/>
  <c r="N552" i="17"/>
  <c r="N555" i="17"/>
  <c r="N560" i="17"/>
  <c r="N562" i="17"/>
  <c r="N563" i="17"/>
  <c r="N568" i="17"/>
  <c r="N571" i="17"/>
  <c r="N576" i="17"/>
  <c r="N579" i="17"/>
  <c r="N584" i="17"/>
  <c r="N587" i="17"/>
  <c r="N592" i="17"/>
  <c r="N595" i="17"/>
  <c r="N598" i="17"/>
  <c r="N600" i="17"/>
  <c r="N603" i="17"/>
  <c r="N608" i="17"/>
  <c r="N611" i="17"/>
  <c r="N616" i="17"/>
  <c r="N619" i="17"/>
  <c r="N622" i="17"/>
  <c r="N624" i="17"/>
  <c r="N627" i="17"/>
  <c r="N632" i="17"/>
  <c r="N635" i="17"/>
  <c r="N640" i="17"/>
  <c r="N643" i="17"/>
  <c r="N646" i="17"/>
  <c r="N647" i="17"/>
  <c r="N648" i="17"/>
  <c r="N651" i="17"/>
  <c r="N656" i="17"/>
  <c r="N659" i="17"/>
  <c r="N664" i="17"/>
  <c r="N667" i="17"/>
  <c r="N672" i="17"/>
  <c r="N675" i="17"/>
  <c r="N680" i="17"/>
  <c r="N683" i="17"/>
  <c r="N688" i="17"/>
  <c r="N691" i="17"/>
  <c r="N696" i="17"/>
  <c r="N699" i="17"/>
  <c r="N704" i="17"/>
  <c r="N707" i="17"/>
  <c r="N710" i="17"/>
  <c r="N712" i="17"/>
  <c r="N715" i="17"/>
  <c r="N720" i="17"/>
  <c r="N723" i="17"/>
  <c r="N728" i="17"/>
  <c r="N731" i="17"/>
  <c r="N734" i="17"/>
  <c r="N735" i="17"/>
  <c r="N736" i="17"/>
  <c r="N739" i="17"/>
  <c r="N744" i="17"/>
  <c r="N747" i="17"/>
  <c r="N752" i="17"/>
  <c r="N755" i="17"/>
  <c r="N758" i="17"/>
  <c r="N759" i="17"/>
  <c r="N760" i="17"/>
  <c r="N763" i="17"/>
  <c r="N768" i="17"/>
  <c r="N771" i="17"/>
  <c r="N776" i="17"/>
  <c r="N779" i="17"/>
  <c r="N784" i="17"/>
  <c r="N787" i="17"/>
  <c r="N792" i="17"/>
  <c r="N795" i="17"/>
  <c r="N798" i="17"/>
  <c r="N800" i="17"/>
  <c r="N803" i="17"/>
  <c r="N808" i="17"/>
  <c r="N811" i="17"/>
  <c r="N816" i="17"/>
  <c r="N819" i="17"/>
  <c r="N822" i="17"/>
  <c r="N824" i="17"/>
  <c r="N827" i="17"/>
  <c r="N835" i="17"/>
  <c r="N840" i="17"/>
  <c r="N843" i="17"/>
  <c r="N846" i="17"/>
  <c r="N847" i="17"/>
  <c r="N848" i="17"/>
  <c r="N851" i="17"/>
  <c r="N859" i="17"/>
  <c r="N864" i="17"/>
  <c r="N867" i="17"/>
  <c r="N872" i="17"/>
  <c r="N875" i="17"/>
  <c r="N880" i="17"/>
  <c r="N883" i="17"/>
  <c r="N891" i="17"/>
  <c r="N896" i="17"/>
  <c r="N899" i="17"/>
  <c r="N904" i="17"/>
  <c r="N907" i="17"/>
  <c r="N910" i="17"/>
  <c r="N912" i="17"/>
  <c r="N915" i="17"/>
  <c r="N916" i="17"/>
  <c r="N920" i="17"/>
  <c r="N923" i="17"/>
  <c r="N928" i="17"/>
  <c r="N931" i="17"/>
  <c r="N935" i="17"/>
  <c r="N936" i="17"/>
  <c r="N939" i="17"/>
  <c r="N944" i="17"/>
  <c r="N947" i="17"/>
  <c r="N952" i="17"/>
  <c r="N955" i="17"/>
  <c r="N960" i="17"/>
  <c r="N963" i="17"/>
  <c r="N971" i="17"/>
  <c r="N976" i="17"/>
  <c r="N979" i="17"/>
  <c r="N984" i="17"/>
  <c r="N987" i="17"/>
  <c r="N992" i="17"/>
  <c r="N995"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L2" i="17"/>
  <c r="M2" i="17" s="1"/>
  <c r="J2" i="17"/>
  <c r="O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<sst xmlns="http://schemas.openxmlformats.org/spreadsheetml/2006/main" count="11130" uniqueCount="6223">
  <si>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</si>
  <si>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</si>
  <si>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</si>
  <si>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</si>
  <si>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</si>
  <si>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</si>
  <si>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</si>
  <si>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</si>
  <si>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</si>
  <si>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</si>
  <si>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</si>
  <si>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</si>
  <si>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</si>
  <si>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</si>
  <si>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</si>
  <si>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</si>
  <si>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</si>
  <si>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</si>
  <si>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</si>
  <si>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</si>
  <si>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</si>
  <si>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</si>
  <si>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</si>
  <si>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</si>
  <si>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</si>
  <si>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</si>
  <si>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</si>
  <si>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</si>
  <si>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</si>
  <si>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</si>
  <si>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</si>
  <si>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</si>
  <si>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</si>
  <si>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</si>
  <si>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</si>
  <si>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</si>
  <si>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</si>
  <si>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</si>
  <si>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</si>
  <si>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</si>
  <si>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</si>
  <si>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</si>
  <si>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</si>
  <si>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</si>
  <si>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</si>
  <si>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</si>
  <si>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</si>
  <si>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</si>
  <si>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</si>
  <si>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</si>
  <si>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</si>
  <si>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</si>
  <si>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</si>
  <si>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</si>
  <si>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</si>
  <si>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</si>
  <si>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</si>
  <si>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</si>
  <si>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</si>
  <si>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</si>
  <si>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</si>
  <si>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</si>
  <si>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</si>
  <si>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</si>
  <si>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</si>
  <si>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</si>
  <si>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</si>
  <si>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</si>
  <si>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</si>
  <si>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</si>
  <si>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</si>
  <si>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</si>
  <si>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</si>
  <si>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</si>
  <si>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</si>
  <si>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</si>
  <si>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</si>
  <si>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</si>
  <si>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</si>
  <si>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</si>
  <si>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</si>
  <si>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</si>
  <si>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</si>
  <si>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</si>
  <si>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</si>
  <si>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</si>
  <si>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</si>
  <si>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</si>
  <si>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</si>
  <si>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</si>
  <si>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</si>
  <si>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</si>
  <si>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</si>
  <si>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</si>
  <si>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</si>
  <si>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</si>
  <si>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</si>
  <si>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</si>
  <si>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</si>
  <si>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</si>
  <si>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</si>
  <si>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</si>
  <si>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</si>
  <si>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</si>
  <si>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</si>
  <si>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</si>
  <si>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</si>
  <si>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</si>
  <si>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</si>
  <si>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</si>
  <si>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</si>
  <si>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</si>
  <si>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</si>
  <si>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</si>
  <si>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</si>
  <si>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</si>
  <si>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</si>
  <si>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</si>
  <si>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</si>
  <si>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</si>
  <si>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</si>
  <si>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</si>
  <si>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</si>
  <si>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</si>
  <si>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</si>
  <si>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</si>
  <si>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</si>
  <si>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</si>
  <si>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</si>
  <si>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</si>
  <si>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</si>
  <si>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</si>
  <si>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</si>
  <si>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</si>
  <si>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</si>
  <si>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</si>
  <si>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</si>
  <si>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</si>
  <si>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</si>
  <si>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</si>
  <si>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</si>
  <si>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</si>
  <si>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</si>
  <si>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</si>
  <si>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</si>
  <si>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</si>
  <si>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</si>
  <si>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</si>
  <si>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</si>
  <si>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</si>
  <si>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</si>
  <si>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</si>
  <si>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</si>
  <si>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</si>
  <si>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</si>
  <si>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</si>
  <si>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</si>
  <si>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</si>
  <si>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</si>
  <si>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</si>
  <si>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</si>
  <si>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</si>
  <si>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</si>
  <si>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</si>
  <si>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</si>
  <si>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</si>
  <si>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</si>
  <si>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</si>
  <si>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</si>
  <si>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</si>
  <si>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</si>
  <si>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</si>
  <si>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</si>
  <si>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</si>
  <si>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</si>
  <si>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</si>
  <si>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</si>
  <si>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</si>
  <si>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</si>
  <si>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</si>
  <si>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</si>
  <si>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</si>
  <si>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</si>
  <si>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</si>
  <si>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</si>
  <si>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</si>
  <si>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</si>
  <si>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</si>
  <si>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</si>
  <si>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</si>
  <si>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</si>
  <si>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</si>
  <si>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</si>
  <si>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</si>
  <si>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</si>
  <si>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</si>
  <si>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</si>
  <si>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</si>
  <si>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</si>
  <si>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</si>
  <si>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</si>
  <si>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</si>
  <si>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</si>
  <si>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</si>
  <si>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</si>
  <si>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</si>
  <si>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</si>
  <si>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</si>
  <si>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</si>
  <si>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</si>
  <si>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</si>
  <si>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</si>
  <si>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</si>
  <si>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</si>
  <si>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</si>
  <si>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</si>
  <si>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</si>
  <si>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</si>
  <si>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</si>
  <si>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</si>
  <si>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</si>
  <si>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</si>
  <si>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</si>
  <si>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</si>
  <si>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</si>
  <si>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</si>
  <si>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</si>
  <si>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</si>
  <si>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</si>
  <si>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</si>
  <si>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</si>
  <si>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</si>
  <si>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</si>
  <si>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</si>
  <si>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</si>
  <si>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</si>
  <si>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</si>
  <si>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</si>
  <si>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</si>
  <si>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</si>
  <si>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</si>
  <si>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</si>
  <si>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</si>
  <si>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</si>
  <si>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</si>
  <si>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</si>
  <si>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</si>
  <si>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</si>
  <si>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</si>
  <si>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</si>
  <si>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</si>
  <si>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</si>
  <si>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</si>
  <si>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</si>
  <si>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</si>
  <si>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</si>
  <si>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</si>
  <si>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</si>
  <si>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</si>
  <si>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</si>
  <si>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</si>
  <si>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</si>
  <si>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</si>
  <si>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</si>
  <si>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</si>
  <si>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</si>
  <si>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</si>
  <si>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</si>
  <si>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</si>
  <si>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</si>
  <si>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</si>
  <si>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</si>
  <si>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</si>
  <si>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</si>
  <si>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</si>
  <si>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</si>
  <si>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</si>
  <si>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</si>
  <si>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</si>
  <si>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</si>
  <si>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</si>
  <si>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</si>
  <si>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</si>
  <si>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</si>
  <si>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</si>
  <si>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</si>
  <si>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</si>
  <si>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</si>
  <si>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</si>
  <si>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</si>
  <si>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</si>
  <si>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</si>
  <si>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</si>
  <si>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</si>
  <si>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</si>
  <si>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</si>
  <si>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</si>
  <si>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</si>
  <si>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</si>
  <si>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</si>
  <si>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</si>
  <si>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</si>
  <si>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</si>
  <si>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</si>
  <si>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</si>
  <si>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</si>
  <si>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</si>
  <si>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</si>
  <si>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</si>
  <si>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</si>
  <si>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</si>
  <si>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</si>
  <si>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</si>
  <si>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</si>
  <si>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</si>
  <si>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</si>
  <si>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</si>
  <si>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</si>
  <si>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</si>
  <si>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</si>
  <si>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</si>
  <si>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</si>
  <si>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</si>
  <si>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</si>
  <si>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</si>
  <si>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</si>
  <si>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</si>
  <si>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</si>
  <si>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</si>
  <si>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</si>
  <si>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</si>
  <si>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</si>
  <si>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</si>
  <si>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</si>
  <si>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</si>
  <si>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</si>
  <si>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</si>
  <si>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</si>
  <si>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</si>
  <si>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</si>
  <si>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</si>
  <si>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</si>
  <si>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</si>
  <si>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</si>
  <si>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</si>
  <si>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</si>
  <si>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</si>
  <si>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</si>
  <si>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</si>
  <si>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</si>
  <si>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</si>
  <si>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</si>
  <si>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</si>
  <si>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</si>
  <si>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</si>
  <si>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</si>
  <si>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</si>
  <si>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</si>
  <si>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</si>
  <si>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</si>
  <si>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</si>
  <si>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</si>
  <si>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</si>
  <si>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</si>
  <si>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</si>
  <si>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</si>
  <si>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</si>
  <si>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</si>
  <si>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</si>
  <si>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</si>
  <si>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</si>
  <si>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</si>
  <si>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</si>
  <si>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</si>
  <si>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</si>
  <si>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</si>
  <si>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</si>
  <si>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</si>
  <si>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</si>
  <si>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</si>
  <si>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</si>
  <si>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</si>
  <si>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</si>
  <si>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</si>
  <si>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</si>
  <si>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</si>
  <si>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</si>
  <si>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</si>
  <si>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</si>
  <si>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</si>
  <si>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</si>
  <si>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</si>
  <si>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</si>
  <si>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</si>
  <si>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</si>
  <si>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</si>
  <si>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</si>
  <si>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</si>
  <si>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</si>
  <si>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</si>
  <si>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</si>
  <si>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</si>
  <si>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</si>
  <si>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</si>
  <si>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</si>
  <si>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</si>
  <si>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</si>
  <si>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</si>
  <si>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</si>
  <si>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</si>
  <si>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</si>
  <si>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</si>
  <si>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</si>
  <si>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</si>
  <si>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</si>
  <si>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</si>
  <si>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</si>
  <si>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</si>
  <si>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</si>
  <si>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</si>
  <si>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</si>
  <si>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</si>
  <si>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</si>
  <si>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</si>
  <si>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</si>
  <si>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</si>
  <si>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</si>
  <si>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</si>
  <si>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</si>
  <si>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</si>
  <si>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</si>
  <si>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</si>
  <si>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</si>
  <si>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</si>
  <si>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</si>
  <si>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</si>
  <si>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</si>
  <si>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</si>
  <si>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</si>
  <si>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</si>
  <si>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</si>
  <si>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</si>
  <si>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</si>
  <si>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</si>
  <si>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</si>
  <si>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</si>
  <si>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</si>
  <si>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</si>
  <si>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</si>
  <si>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</si>
  <si>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</si>
  <si>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</si>
  <si>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</si>
  <si>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</si>
  <si>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</si>
  <si>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</si>
  <si>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</si>
  <si>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</si>
  <si>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</si>
  <si>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</si>
  <si>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</si>
  <si>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</si>
  <si>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</si>
  <si>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</si>
  <si>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</si>
  <si>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</si>
  <si>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</si>
  <si>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</si>
  <si>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</si>
  <si>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</si>
  <si>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</si>
  <si>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</si>
  <si>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</si>
  <si>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</si>
  <si>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</si>
  <si>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</si>
  <si>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</si>
  <si>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</si>
  <si>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</si>
  <si>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</si>
  <si>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</si>
  <si>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</si>
  <si>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</si>
  <si>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</si>
  <si>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</si>
  <si>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</si>
  <si>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</si>
  <si>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</si>
  <si>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</si>
  <si>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</si>
  <si>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</si>
  <si>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</si>
  <si>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</si>
  <si>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</si>
  <si>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</si>
  <si>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</si>
  <si>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</si>
  <si>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</si>
  <si>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</si>
  <si>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</si>
  <si>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</si>
  <si>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</si>
  <si>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</si>
  <si>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</si>
  <si>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</si>
  <si>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</si>
  <si>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</si>
  <si>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</si>
  <si>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</si>
  <si>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</si>
  <si>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</si>
  <si>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</si>
  <si>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</si>
  <si>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</si>
  <si>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</si>
  <si>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</si>
  <si>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</si>
  <si>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</si>
  <si>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</si>
  <si>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</si>
  <si>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</si>
  <si>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</si>
  <si>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</si>
  <si>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</si>
  <si>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</si>
  <si>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</si>
  <si>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</si>
  <si>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</si>
  <si>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</si>
  <si>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</si>
  <si>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</si>
  <si>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</si>
  <si>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</si>
  <si>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</si>
  <si>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</si>
  <si>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</si>
  <si>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</si>
  <si>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</si>
  <si>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</si>
  <si>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</si>
  <si>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</si>
  <si>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</si>
  <si>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</si>
  <si>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</si>
  <si>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</si>
  <si>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</si>
  <si>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</si>
  <si>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</si>
  <si>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</si>
  <si>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</si>
  <si>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</si>
  <si>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</si>
  <si>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</si>
  <si>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</si>
  <si>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</si>
  <si>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</si>
  <si>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</si>
  <si>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</si>
  <si>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</si>
  <si>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</si>
  <si>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</si>
  <si>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</si>
  <si>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</si>
  <si>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</si>
  <si>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</si>
  <si>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</si>
  <si>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</si>
  <si>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</si>
  <si>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</si>
  <si>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</si>
  <si>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</si>
  <si>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</si>
  <si>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</si>
  <si>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</si>
  <si>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</si>
  <si>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</si>
  <si>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</si>
  <si>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</si>
  <si>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</si>
  <si>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</si>
  <si>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</si>
  <si>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</si>
  <si>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</si>
  <si>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</si>
  <si>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</si>
  <si>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</si>
  <si>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</si>
  <si>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</si>
  <si>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</si>
  <si>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</si>
  <si>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</si>
  <si>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</si>
  <si>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</si>
  <si>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</si>
  <si>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</si>
  <si>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</si>
  <si>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</si>
  <si>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</si>
  <si>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</si>
  <si>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</si>
  <si>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</si>
  <si>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</si>
  <si>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</si>
  <si>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</si>
  <si>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</si>
  <si>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</si>
  <si>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</si>
  <si>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</si>
  <si>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</si>
  <si>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</si>
  <si>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</si>
  <si>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</si>
  <si>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</si>
  <si>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</si>
  <si>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</si>
  <si>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</si>
  <si>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</si>
  <si>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</si>
  <si>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</si>
  <si>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</si>
  <si>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</si>
  <si>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</si>
  <si>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</si>
  <si>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</si>
  <si>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</si>
  <si>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</si>
  <si>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</si>
  <si>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</si>
  <si>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</si>
  <si>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</si>
  <si>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</si>
  <si>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</si>
  <si>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</si>
  <si>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</si>
  <si>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</si>
  <si>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</si>
  <si>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</si>
  <si>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</si>
  <si>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</si>
  <si>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</si>
  <si>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</si>
  <si>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</si>
  <si>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</si>
  <si>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</si>
  <si>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</si>
  <si>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</si>
  <si>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</si>
  <si>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</si>
  <si>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</si>
  <si>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</si>
  <si>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</si>
  <si>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</si>
  <si>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</si>
  <si>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</si>
  <si>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</si>
  <si>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</si>
  <si>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</si>
  <si>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</si>
  <si>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</si>
  <si>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</si>
  <si>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</si>
  <si>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</si>
  <si>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</si>
  <si>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</si>
  <si>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</si>
  <si>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</si>
  <si>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</si>
  <si>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</si>
  <si>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</si>
  <si>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</si>
  <si>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</si>
  <si>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</si>
  <si>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</si>
  <si>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</si>
  <si>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</si>
  <si>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</si>
  <si>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</si>
  <si>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</si>
  <si>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</si>
  <si>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</si>
  <si>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</si>
  <si>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</si>
  <si>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</si>
  <si>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</si>
  <si>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</si>
  <si>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</si>
  <si>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</si>
  <si>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</si>
  <si>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</si>
  <si>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</si>
  <si>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</si>
  <si>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</si>
  <si>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</si>
  <si>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</si>
  <si>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</si>
  <si>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</si>
  <si>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</si>
  <si>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</si>
  <si>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</si>
  <si>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</si>
  <si>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</si>
  <si>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</si>
  <si>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</si>
  <si>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</si>
  <si>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</si>
  <si>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</si>
  <si>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</si>
  <si>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</si>
  <si>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</si>
  <si>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</si>
  <si>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</si>
  <si>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</si>
  <si>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</si>
  <si>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</si>
  <si>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</si>
  <si>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</si>
  <si>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</si>
  <si>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</si>
  <si>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</si>
  <si>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</si>
  <si>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</si>
  <si>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</si>
  <si>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</si>
  <si>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</si>
  <si>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</si>
  <si>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</si>
  <si>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</si>
  <si>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</si>
  <si>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</si>
  <si>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</si>
  <si>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</si>
  <si>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</si>
  <si>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</si>
  <si>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</si>
  <si>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</si>
  <si>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</si>
  <si>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</si>
  <si>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</si>
  <si>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</si>
  <si>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</si>
  <si>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</si>
  <si>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</si>
  <si>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</si>
  <si>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</si>
  <si>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</si>
  <si>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</si>
  <si>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</si>
  <si>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</si>
  <si>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</si>
  <si>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</si>
  <si>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</si>
  <si>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</si>
  <si>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</si>
  <si>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</si>
  <si>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</si>
  <si>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</si>
  <si>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</si>
  <si>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</si>
  <si>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</si>
  <si>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</si>
  <si>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</si>
  <si>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</si>
  <si>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</si>
  <si>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</si>
  <si>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</si>
  <si>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</si>
  <si>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</si>
  <si>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</si>
  <si>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</si>
  <si>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</si>
  <si>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</si>
  <si>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</si>
  <si>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</si>
  <si>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</si>
  <si>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</si>
  <si>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</si>
  <si>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</si>
  <si>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</si>
  <si>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</si>
  <si>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</si>
  <si>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</si>
  <si>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</si>
  <si>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</si>
  <si>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</si>
  <si>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</si>
  <si>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</si>
  <si>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</si>
  <si>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</si>
  <si>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</si>
  <si>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</si>
  <si>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</si>
  <si>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</si>
  <si>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</si>
  <si>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</si>
  <si>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</si>
  <si>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</si>
  <si>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</si>
  <si>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</si>
  <si>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</si>
  <si>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</si>
  <si>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</si>
  <si>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</si>
  <si>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</si>
  <si>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</si>
  <si>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</si>
  <si>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</si>
  <si>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</si>
  <si>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</si>
  <si>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</si>
  <si>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</si>
  <si>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</si>
  <si>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</si>
  <si>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</si>
  <si>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</si>
  <si>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</si>
  <si>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</si>
  <si>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</si>
  <si>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</si>
  <si>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</si>
  <si>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</si>
  <si>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</si>
  <si>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</si>
  <si>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</si>
  <si>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</si>
  <si>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</si>
  <si>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</si>
  <si>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</si>
  <si>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</si>
  <si>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</si>
  <si>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</si>
  <si>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</si>
  <si>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</si>
  <si>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</si>
  <si>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</si>
  <si>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</si>
  <si>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</si>
  <si>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</si>
  <si>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</si>
  <si>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</si>
  <si>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</si>
  <si>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</si>
  <si>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</si>
  <si>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</si>
  <si>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</si>
  <si>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</si>
  <si>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</si>
  <si>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</si>
  <si>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</si>
  <si>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</si>
  <si>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</si>
  <si>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</si>
  <si>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</si>
  <si>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</si>
  <si>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</si>
  <si>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</si>
  <si>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</si>
  <si>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</si>
  <si>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</si>
  <si>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</si>
  <si>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</si>
  <si>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</si>
  <si>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</si>
  <si>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</si>
  <si>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</si>
  <si>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</si>
  <si>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</si>
  <si>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</si>
  <si>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</si>
  <si>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</si>
  <si>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</si>
  <si>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</si>
  <si>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</si>
  <si>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</si>
  <si>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</si>
  <si>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</si>
  <si>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</si>
  <si>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</si>
  <si>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</si>
  <si>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</si>
  <si>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</si>
  <si>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</si>
  <si>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</si>
  <si>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</si>
  <si>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</si>
  <si>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</si>
  <si>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</si>
  <si>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</si>
  <si>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</si>
  <si>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</si>
  <si>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</si>
  <si>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</si>
  <si>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</si>
  <si>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</si>
  <si>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</si>
  <si>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</si>
  <si>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</si>
  <si>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</si>
  <si>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</si>
  <si>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</si>
  <si>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</si>
  <si>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</si>
  <si>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</si>
  <si>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</si>
  <si>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</si>
  <si>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</si>
  <si>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</si>
  <si>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</si>
  <si>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</si>
  <si>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</si>
  <si>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</si>
  <si>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</si>
  <si>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</si>
  <si>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</si>
  <si>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</si>
  <si>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</si>
  <si>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</si>
  <si>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</si>
  <si>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</si>
  <si>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</si>
  <si>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</si>
  <si>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</si>
  <si>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</si>
  <si>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</si>
  <si>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</si>
  <si>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</si>
  <si>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</si>
  <si>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</si>
  <si>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</si>
  <si>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</si>
  <si>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</si>
  <si>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</si>
  <si>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</si>
  <si>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</si>
  <si>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</si>
  <si>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</si>
  <si>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</si>
  <si>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</si>
  <si>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</si>
  <si>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</si>
  <si>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</si>
  <si>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</si>
  <si>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</si>
  <si>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</si>
  <si>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</si>
  <si>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</si>
  <si>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</si>
  <si>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</si>
  <si>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</si>
  <si>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</si>
  <si>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</si>
  <si>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</si>
  <si>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</si>
  <si>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</si>
  <si>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</si>
  <si>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</si>
  <si>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</si>
  <si>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</si>
  <si>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</si>
  <si>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</si>
  <si>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</si>
  <si>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</si>
  <si>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</si>
  <si>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</si>
  <si>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</si>
  <si>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</si>
  <si>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</si>
  <si>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</si>
  <si>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</si>
  <si>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</si>
  <si>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</si>
  <si>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</si>
  <si>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</si>
  <si>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</si>
  <si>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</si>
  <si>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</si>
  <si>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</si>
  <si>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</si>
  <si>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</si>
  <si>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</si>
  <si>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</si>
  <si>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</si>
  <si>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</si>
  <si>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</si>
  <si>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</si>
  <si>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</si>
  <si>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</si>
  <si>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</si>
  <si>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</si>
  <si>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</si>
  <si>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</si>
  <si>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</si>
  <si>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</si>
  <si>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</si>
  <si>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</si>
  <si>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</si>
  <si>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</si>
  <si>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</si>
  <si>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</si>
  <si>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</si>
  <si>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</si>
  <si>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</si>
  <si>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</si>
  <si>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</si>
  <si>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</si>
  <si>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</si>
  <si>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</si>
  <si>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</si>
  <si>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</si>
  <si>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</si>
  <si>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</si>
  <si>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</si>
  <si>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</si>
  <si>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</si>
  <si>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</si>
  <si>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</si>
  <si>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</si>
  <si>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</si>
  <si>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</si>
  <si>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</si>
  <si>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</si>
  <si>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</si>
  <si>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</si>
  <si>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</si>
  <si>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</si>
  <si>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</si>
  <si>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</si>
  <si>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</si>
  <si>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</si>
  <si>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</si>
  <si>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</si>
  <si>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</si>
  <si>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</si>
  <si>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</si>
  <si>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</si>
  <si>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</si>
  <si>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</si>
  <si>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</si>
  <si>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</si>
  <si>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</si>
  <si>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</si>
  <si>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</si>
  <si>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</si>
  <si>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</si>
  <si>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</si>
  <si>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</si>
  <si>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</si>
  <si>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</si>
  <si>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</si>
  <si>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</si>
  <si>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</si>
  <si>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</si>
  <si>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</si>
  <si>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</si>
  <si>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</si>
  <si>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</si>
  <si>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</si>
  <si>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</si>
  <si>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</si>
  <si>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</si>
  <si>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</si>
  <si>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</si>
  <si>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</si>
  <si>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</si>
  <si>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</si>
  <si>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</si>
  <si>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</si>
  <si>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</si>
  <si>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</si>
  <si>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</si>
  <si>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</si>
  <si>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</si>
  <si>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</si>
  <si>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</si>
  <si>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</si>
  <si>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</si>
  <si>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</si>
  <si>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</si>
  <si>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</si>
  <si>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</si>
  <si>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</si>
  <si>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</si>
  <si>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</si>
  <si>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</si>
  <si>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</si>
  <si>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</si>
  <si>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</si>
  <si>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</si>
  <si>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</si>
  <si>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</si>
  <si>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</si>
  <si>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</si>
  <si>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</si>
  <si>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</si>
  <si>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</si>
  <si>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</si>
  <si>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</si>
  <si>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</si>
  <si>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</si>
  <si>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</si>
  <si>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</si>
  <si>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</si>
  <si>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</si>
  <si>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</si>
  <si>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</si>
  <si>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</si>
  <si>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</si>
  <si>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</si>
  <si>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</si>
  <si>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</si>
  <si>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</si>
  <si>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</si>
  <si>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</si>
  <si>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</si>
  <si>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</si>
  <si>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</si>
  <si>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</si>
  <si>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</si>
  <si>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</si>
  <si>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</si>
  <si>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</si>
  <si>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</si>
  <si>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</si>
  <si>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</si>
  <si>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</si>
  <si>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</si>
  <si>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</si>
  <si>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</si>
  <si>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</si>
  <si>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</si>
  <si>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</si>
  <si>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</si>
  <si>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</si>
  <si>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</si>
  <si>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</si>
  <si>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</si>
  <si>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</si>
  <si>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</si>
  <si>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</si>
  <si>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</si>
  <si>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</si>
  <si>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</si>
  <si>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</si>
  <si>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</si>
  <si>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</si>
  <si>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</si>
  <si>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</si>
  <si>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</si>
  <si>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</si>
  <si>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</si>
  <si>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</si>
  <si>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</si>
  <si>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</si>
  <si>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</si>
  <si>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</si>
  <si>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</si>
  <si>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</si>
  <si>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</si>
  <si>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</si>
  <si>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</si>
  <si>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</si>
  <si>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</si>
  <si>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</si>
  <si>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</si>
  <si>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</si>
  <si>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</si>
  <si>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</si>
  <si>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</si>
  <si>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</si>
  <si>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</si>
  <si>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</si>
  <si>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</si>
  <si>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</si>
  <si>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</si>
  <si>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</si>
  <si>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</si>
  <si>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</si>
  <si>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</si>
  <si>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</si>
  <si>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</si>
  <si>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</si>
  <si>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</si>
  <si>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</si>
  <si>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</si>
  <si>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</si>
  <si>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</si>
  <si>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</si>
  <si>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</si>
  <si>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</si>
  <si>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</si>
  <si>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</si>
  <si>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</si>
  <si>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</si>
  <si>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</si>
  <si>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</si>
  <si>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</si>
  <si>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</si>
  <si>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</si>
  <si>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</si>
  <si>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</si>
  <si>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</si>
  <si>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</si>
  <si>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</si>
  <si>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</si>
  <si>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</si>
  <si>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</si>
  <si>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</si>
  <si>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</si>
  <si>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</si>
  <si>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</si>
  <si>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</si>
  <si>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</si>
  <si>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</si>
  <si>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</si>
  <si>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</si>
  <si>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</si>
  <si>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</si>
  <si>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</si>
  <si>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</si>
  <si>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</si>
  <si>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</si>
  <si>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</si>
  <si>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</si>
  <si>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</si>
  <si>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</si>
  <si>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</si>
  <si>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</si>
  <si>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</si>
  <si>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</si>
  <si>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</si>
  <si>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</si>
  <si>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</si>
  <si>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</si>
  <si>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</si>
  <si>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</si>
  <si>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</si>
  <si>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</si>
  <si>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</si>
  <si>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</si>
  <si>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</si>
  <si>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</si>
  <si>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</si>
  <si>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</si>
  <si>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</si>
  <si>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</si>
  <si>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</si>
  <si>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</si>
  <si>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</si>
  <si>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</si>
  <si>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</si>
  <si>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</si>
  <si>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</si>
  <si>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</si>
  <si>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</si>
  <si>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</si>
  <si>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</si>
  <si>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</si>
  <si>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</si>
  <si>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</si>
  <si>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</si>
  <si>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</si>
  <si>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</si>
  <si>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</si>
  <si>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</si>
  <si>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</si>
  <si>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</si>
  <si>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</si>
  <si>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</si>
  <si>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</si>
  <si>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</si>
  <si>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</si>
  <si>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</si>
  <si>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</si>
  <si>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</si>
  <si>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</si>
  <si>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</si>
  <si>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</si>
  <si>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</si>
  <si>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</si>
  <si>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</si>
  <si>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</si>
  <si>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</si>
  <si>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</si>
  <si>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</si>
  <si>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</si>
  <si>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</si>
  <si>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</si>
  <si>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</si>
  <si>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</si>
  <si>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</si>
  <si>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</si>
  <si>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</si>
  <si>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</si>
  <si>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</si>
  <si>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</si>
  <si>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</si>
  <si>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</si>
  <si>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</si>
  <si>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</si>
  <si>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</si>
  <si>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</si>
  <si>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</si>
  <si>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</si>
  <si>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</si>
  <si>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</si>
  <si>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</si>
  <si>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</si>
  <si>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</si>
  <si>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</si>
  <si>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</si>
  <si>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</si>
  <si>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</si>
  <si>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</si>
  <si>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</si>
  <si>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</si>
  <si>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</si>
  <si>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</si>
  <si>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</si>
  <si>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</si>
  <si>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</si>
  <si>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</si>
  <si>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</si>
  <si>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</si>
  <si>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</si>
  <si>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</si>
  <si>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</si>
  <si>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</si>
  <si>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</si>
  <si>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</si>
  <si>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</si>
  <si>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</si>
  <si>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</si>
  <si>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</si>
  <si>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</si>
  <si>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</si>
  <si>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</si>
  <si>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</si>
  <si>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</si>
  <si>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</si>
  <si>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</si>
  <si>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</si>
  <si>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</si>
  <si>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</si>
  <si>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</si>
  <si>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</si>
  <si>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</si>
  <si>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</si>
  <si>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</si>
  <si>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</si>
  <si>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</si>
  <si>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</si>
  <si>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</si>
  <si>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</si>
  <si>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</si>
  <si>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</si>
  <si>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</si>
  <si>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</si>
  <si>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</si>
  <si>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</si>
  <si>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</si>
  <si>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</si>
  <si>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</si>
  <si>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</si>
  <si>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</si>
  <si>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</si>
  <si>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</si>
  <si>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</si>
  <si>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</si>
  <si>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</si>
  <si>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</si>
  <si>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</si>
  <si>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</si>
  <si>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</si>
  <si>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</si>
  <si>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</si>
  <si>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</si>
  <si>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</si>
  <si>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</si>
  <si>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</si>
  <si>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</si>
  <si>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</si>
  <si>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</si>
  <si>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</si>
  <si>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</si>
  <si>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</si>
  <si>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</si>
  <si>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</si>
  <si>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</si>
  <si>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</si>
  <si>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</si>
  <si>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</si>
  <si>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</si>
  <si>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</si>
  <si>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</si>
  <si>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</si>
  <si>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</si>
  <si>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</si>
  <si>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</si>
  <si>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</si>
  <si>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</si>
  <si>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</si>
  <si>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</si>
  <si>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</si>
  <si>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</si>
  <si>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</si>
  <si>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</si>
  <si>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</si>
  <si>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</si>
  <si>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</si>
  <si>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</si>
  <si>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</si>
  <si>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</si>
  <si>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</si>
  <si>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</si>
  <si>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</si>
  <si>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</si>
  <si>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</si>
  <si>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</si>
  <si>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</si>
  <si>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</si>
  <si>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</si>
  <si>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</si>
  <si>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</si>
  <si>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</si>
  <si>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</si>
  <si>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</si>
  <si>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</si>
  <si>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</si>
  <si>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</si>
  <si>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</si>
  <si>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</si>
  <si>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</si>
  <si>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</si>
  <si>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</si>
  <si>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</si>
  <si>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</si>
  <si>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</si>
  <si>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</si>
  <si>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</si>
  <si>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</si>
  <si>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</si>
  <si>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</si>
  <si>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</si>
  <si>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</si>
  <si>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</si>
  <si>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</si>
  <si>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</si>
  <si>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</si>
  <si>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</si>
  <si>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</si>
  <si>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</si>
  <si>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</si>
  <si>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</si>
  <si>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</si>
  <si>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</si>
  <si>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</si>
  <si>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</si>
  <si>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</si>
  <si>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</si>
  <si>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</si>
  <si>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</si>
  <si>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</si>
  <si>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</si>
  <si>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</si>
  <si>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</si>
  <si>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</si>
  <si>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</si>
  <si>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</si>
  <si>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</si>
  <si>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</si>
  <si>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</si>
  <si>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</si>
  <si>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</si>
  <si>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</si>
  <si>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</si>
  <si>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</si>
  <si>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</si>
  <si>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</si>
  <si>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</si>
  <si>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</si>
  <si>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</si>
  <si>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</si>
  <si>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</si>
  <si>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</si>
  <si>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</si>
  <si>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</si>
  <si>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</si>
  <si>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</si>
  <si>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</si>
  <si>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</si>
  <si>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</si>
  <si>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</si>
  <si>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</si>
  <si>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</si>
  <si>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</si>
  <si>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</si>
  <si>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</si>
  <si>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</si>
  <si>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</si>
  <si>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</si>
  <si>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</si>
  <si>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</si>
  <si>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</si>
  <si>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</si>
  <si>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</si>
  <si>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</si>
  <si>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</si>
  <si>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</si>
  <si>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</si>
  <si>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</si>
  <si>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</si>
  <si>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</si>
  <si>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</si>
  <si>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</si>
  <si>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</si>
  <si>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</si>
  <si>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</si>
  <si>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</si>
  <si>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</si>
  <si>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</si>
  <si>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</si>
  <si>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</si>
  <si>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</si>
  <si>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</si>
  <si>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</si>
  <si>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</si>
  <si>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</si>
  <si>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</si>
  <si>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</si>
  <si>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</si>
  <si>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</si>
  <si>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</si>
  <si>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</si>
  <si>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</si>
  <si>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</si>
  <si>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</si>
  <si>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</si>
  <si>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</si>
  <si>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</si>
  <si>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</si>
  <si>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</si>
  <si>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</si>
  <si>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</si>
  <si>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</si>
  <si>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</si>
  <si>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</si>
  <si>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</si>
  <si>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</si>
  <si>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</si>
  <si>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</si>
  <si>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</si>
  <si>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</si>
  <si>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</si>
  <si>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</si>
  <si>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</si>
  <si>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</si>
  <si>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</si>
  <si>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</si>
  <si>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</si>
  <si>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</si>
  <si>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</si>
  <si>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</si>
  <si>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</si>
  <si>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</si>
  <si>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</si>
  <si>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</si>
  <si>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</si>
  <si>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</si>
  <si>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</si>
  <si>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</si>
  <si>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</si>
  <si>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</si>
  <si>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</si>
  <si>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</si>
  <si>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</si>
  <si>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</si>
  <si>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</si>
  <si>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</si>
  <si>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</si>
  <si>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</si>
  <si>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</si>
  <si>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</si>
  <si>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</si>
  <si>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</si>
  <si>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</si>
  <si>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</si>
  <si>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</si>
  <si>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</si>
  <si>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</si>
  <si>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</si>
  <si>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</si>
  <si>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</si>
  <si>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</si>
  <si>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</si>
  <si>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</si>
  <si>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</si>
  <si>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</si>
  <si>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</si>
  <si>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</si>
  <si>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</si>
  <si>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</si>
  <si>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</si>
  <si>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</si>
  <si>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</si>
  <si>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</si>
  <si>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</si>
  <si>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</si>
  <si>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</si>
  <si>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</si>
  <si>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</si>
  <si>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</si>
  <si>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</si>
  <si>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</si>
  <si>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</si>
  <si>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</si>
  <si>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</si>
  <si>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</si>
  <si>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</si>
  <si>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</si>
  <si>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</si>
  <si>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</si>
  <si>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</si>
  <si>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</si>
  <si>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</si>
  <si>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</si>
  <si>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</si>
  <si>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</si>
  <si>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</si>
  <si>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</si>
  <si>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</si>
  <si>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</si>
  <si>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</si>
  <si>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</si>
  <si>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</si>
  <si>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</si>
  <si>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</si>
  <si>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</si>
  <si>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</si>
  <si>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</si>
  <si>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</si>
  <si>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</si>
  <si>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</si>
  <si>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</si>
  <si>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</si>
  <si>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</si>
  <si>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</si>
  <si>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</si>
  <si>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</si>
  <si>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</si>
  <si>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</si>
  <si>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</si>
  <si>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</si>
  <si>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</si>
  <si>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</si>
  <si>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</si>
  <si>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</si>
  <si>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</si>
  <si>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</si>
  <si>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</si>
  <si>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</si>
  <si>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</si>
  <si>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</si>
  <si>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</si>
  <si>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</si>
  <si>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</si>
  <si>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</si>
  <si>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</si>
  <si>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</si>
  <si>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</si>
  <si>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</si>
  <si>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</si>
  <si>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</si>
  <si>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</si>
  <si>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</si>
  <si>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</si>
  <si>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</si>
  <si>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</si>
  <si>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</si>
  <si>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</si>
  <si>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</si>
  <si>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</si>
  <si>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</si>
  <si>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</si>
  <si>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</si>
  <si>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</si>
  <si>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</si>
  <si>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</si>
  <si>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</si>
  <si>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</si>
  <si>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</si>
  <si>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</si>
  <si>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</si>
  <si>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</si>
  <si>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</si>
  <si>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</si>
  <si>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</si>
  <si>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</si>
  <si>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</si>
  <si>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</si>
  <si>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</si>
  <si>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</si>
  <si>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</si>
  <si>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</si>
  <si>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</si>
  <si>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</si>
  <si>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</si>
  <si>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</si>
  <si>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</si>
  <si>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</si>
  <si>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</si>
  <si>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</si>
  <si>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</si>
  <si>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</si>
  <si>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</si>
  <si>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</si>
  <si>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</si>
  <si>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</si>
  <si>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</si>
  <si>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</si>
  <si>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</si>
  <si>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</si>
  <si>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</si>
  <si>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</si>
  <si>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</si>
  <si>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</si>
  <si>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</si>
  <si>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</si>
  <si>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</si>
  <si>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</si>
  <si>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</si>
  <si>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</si>
  <si>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</si>
  <si>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</si>
  <si>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</si>
  <si>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</si>
  <si>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</si>
  <si>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</si>
  <si>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</si>
  <si>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</si>
  <si>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</si>
  <si>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</si>
  <si>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</si>
  <si>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</si>
  <si>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</si>
  <si>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</si>
  <si>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</si>
  <si>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</si>
  <si>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</si>
  <si>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</si>
  <si>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</si>
  <si>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</si>
  <si>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</si>
  <si>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</si>
  <si>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</si>
  <si>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</si>
  <si>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</si>
  <si>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</si>
  <si>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</si>
  <si>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</si>
  <si>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</si>
  <si>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</si>
  <si>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</si>
  <si>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</si>
  <si>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</si>
  <si>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</si>
  <si>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</si>
  <si>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</si>
  <si>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</si>
  <si>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</si>
  <si>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</si>
  <si>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</si>
  <si>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</si>
  <si>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</si>
  <si>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</si>
  <si>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</si>
  <si>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</si>
  <si>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</si>
  <si>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</si>
  <si>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</si>
  <si>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</si>
  <si>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</si>
  <si>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</si>
  <si>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</si>
  <si>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</si>
  <si>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</si>
  <si>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</si>
  <si>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</si>
  <si>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</si>
  <si>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</si>
  <si>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</si>
  <si>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</si>
  <si>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</si>
  <si>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</si>
  <si>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</si>
  <si>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</si>
  <si>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</si>
  <si>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</si>
  <si>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</si>
  <si>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</si>
  <si>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</si>
  <si>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</si>
  <si>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</si>
  <si>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</si>
  <si>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</si>
  <si>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</si>
  <si>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</si>
  <si>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</si>
  <si>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</si>
  <si>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</si>
  <si>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</si>
  <si>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</si>
  <si>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</si>
  <si>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</si>
  <si>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</si>
  <si>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</si>
  <si>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</si>
  <si>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</si>
  <si>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</si>
  <si>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</si>
  <si>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</si>
  <si>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</si>
  <si>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</si>
  <si>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</si>
  <si>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</si>
  <si>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</si>
  <si>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</si>
  <si>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</si>
  <si>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</si>
  <si>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</si>
  <si>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</si>
  <si>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</si>
  <si>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</si>
  <si>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</si>
  <si>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</si>
  <si>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</si>
  <si>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</si>
  <si>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</si>
  <si>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</si>
  <si>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</si>
  <si>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</si>
  <si>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</si>
  <si>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</si>
  <si>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</si>
  <si>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</si>
  <si>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</si>
  <si>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</si>
  <si>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</si>
  <si>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</si>
  <si>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</si>
  <si>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</si>
  <si>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</si>
  <si>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</si>
  <si>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</si>
  <si>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</si>
  <si>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</si>
  <si>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</si>
  <si>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</si>
  <si>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</si>
  <si>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</si>
  <si>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</si>
  <si>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</si>
  <si>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</si>
  <si>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</si>
  <si>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</si>
  <si>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</si>
  <si>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</si>
  <si>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</si>
  <si>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</si>
  <si>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</si>
  <si>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</si>
  <si>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</si>
  <si>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</si>
  <si>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</si>
  <si>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</si>
  <si>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</si>
  <si>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</si>
  <si>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</si>
  <si>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</si>
  <si>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</si>
  <si>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</si>
  <si>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</si>
  <si>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</si>
  <si>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</si>
  <si>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</si>
  <si>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</si>
  <si>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</si>
  <si>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</si>
  <si>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</si>
  <si>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</si>
  <si>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</si>
  <si>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</si>
  <si>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</si>
  <si>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</si>
  <si>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</si>
  <si>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</si>
  <si>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</si>
  <si>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</si>
  <si>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</si>
  <si>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</si>
  <si>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</si>
  <si>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</si>
  <si>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</si>
  <si>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</si>
  <si>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</si>
  <si>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</si>
  <si>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</si>
  <si>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</si>
  <si>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</si>
  <si>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</si>
  <si>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</si>
  <si>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</si>
  <si>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</si>
  <si>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</si>
  <si>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</si>
  <si>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</si>
  <si>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</si>
  <si>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</si>
  <si>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</si>
  <si>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</si>
  <si>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</si>
  <si>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</si>
  <si>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</si>
  <si>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</si>
  <si>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</si>
  <si>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</si>
  <si>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</si>
  <si>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</si>
  <si>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</si>
  <si>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</si>
  <si>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</si>
  <si>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</si>
  <si>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</si>
  <si>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</si>
  <si>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</si>
  <si>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</si>
  <si>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</si>
  <si>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</si>
  <si>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</si>
  <si>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</si>
  <si>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</si>
  <si>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</si>
  <si>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</si>
  <si>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</si>
  <si>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</si>
  <si>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</si>
  <si>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</si>
  <si>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</si>
  <si>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</si>
  <si>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</si>
  <si>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</si>
  <si>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</si>
  <si>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</si>
  <si>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</si>
  <si>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</si>
  <si>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</si>
  <si>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</si>
  <si>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</si>
  <si>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</si>
  <si>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</si>
  <si>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</si>
  <si>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</si>
  <si>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</si>
  <si>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</si>
  <si>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</si>
  <si>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</si>
  <si>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</si>
  <si>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</si>
  <si>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</si>
  <si>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</si>
  <si>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</si>
  <si>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</si>
  <si>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</si>
  <si>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</si>
  <si>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</si>
  <si>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</si>
  <si>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</si>
  <si>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</si>
  <si>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</si>
  <si>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</si>
  <si>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</si>
  <si>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</si>
  <si>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</si>
  <si>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</si>
  <si>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</si>
  <si>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</si>
  <si>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</si>
  <si>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</si>
  <si>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</si>
  <si>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</si>
  <si>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</si>
  <si>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</si>
  <si>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</si>
  <si>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</si>
  <si>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</si>
  <si>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</si>
  <si>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</si>
  <si>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</si>
  <si>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</si>
  <si>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</si>
  <si>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</si>
  <si>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</si>
  <si>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</si>
  <si>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</si>
  <si>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</si>
  <si>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</si>
  <si>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</si>
  <si>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</si>
  <si>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</si>
  <si>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</si>
  <si>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</si>
  <si>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</si>
  <si>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</si>
  <si>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</si>
  <si>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</si>
  <si>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</si>
  <si>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</si>
  <si>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</si>
  <si>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</si>
  <si>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</si>
  <si>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</si>
  <si>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</si>
  <si>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</si>
  <si>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</si>
  <si>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</si>
  <si>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</si>
  <si>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</si>
  <si>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</si>
  <si>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</si>
  <si>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</si>
  <si>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</si>
  <si>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</si>
  <si>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</si>
  <si>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</si>
  <si>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</si>
  <si>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</si>
  <si>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</si>
  <si>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</si>
  <si>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</si>
  <si>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</si>
  <si>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</si>
  <si>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</si>
  <si>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</si>
  <si>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</si>
  <si>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</si>
  <si>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</si>
  <si>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</si>
  <si>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</si>
  <si>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</si>
  <si>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</si>
  <si>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</si>
  <si>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</si>
  <si>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</si>
  <si>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</si>
  <si>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</si>
  <si>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</si>
  <si>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</si>
  <si>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</si>
  <si>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</si>
  <si>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</si>
  <si>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</si>
  <si>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</si>
  <si>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</si>
  <si>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</si>
  <si>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</si>
  <si>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</si>
  <si>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</si>
  <si>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</si>
  <si>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</si>
  <si>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</si>
  <si>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</si>
  <si>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</si>
  <si>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</si>
  <si>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</si>
  <si>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</si>
  <si>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</si>
  <si>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</si>
  <si>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</si>
  <si>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</si>
  <si>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</si>
  <si>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</si>
  <si>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</si>
  <si>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</si>
  <si>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</si>
  <si>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</si>
  <si>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</si>
  <si>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</si>
  <si>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</si>
  <si>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</si>
  <si>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</si>
  <si>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</si>
  <si>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</si>
  <si>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</si>
  <si>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</si>
  <si>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</si>
  <si>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</si>
  <si>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</si>
  <si>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</si>
  <si>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</si>
  <si>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</si>
  <si>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</si>
  <si>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</si>
  <si>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</si>
  <si>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</si>
  <si>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</si>
  <si>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</si>
  <si>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</si>
  <si>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</si>
  <si>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</si>
  <si>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</si>
  <si>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</si>
  <si>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</si>
  <si>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</si>
  <si>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</si>
  <si>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</si>
  <si>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</si>
  <si>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</si>
  <si>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</si>
  <si>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</si>
  <si>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</si>
  <si>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</si>
  <si>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</si>
  <si>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</si>
  <si>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</si>
  <si>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</si>
  <si>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</si>
  <si>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</si>
  <si>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</si>
  <si>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</si>
  <si>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</si>
  <si>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</si>
  <si>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</si>
  <si>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</si>
  <si>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</si>
  <si>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</si>
  <si>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</si>
  <si>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</si>
  <si>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</si>
  <si>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</si>
  <si>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</si>
  <si>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</si>
  <si>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</si>
  <si>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</si>
  <si>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</si>
  <si>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</si>
  <si>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</si>
  <si>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</si>
  <si>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</si>
  <si>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</si>
  <si>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</si>
  <si>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</si>
  <si>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</si>
  <si>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</si>
  <si>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</si>
  <si>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</si>
  <si>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</si>
  <si>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</si>
  <si>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</si>
  <si>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</si>
  <si>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</si>
  <si>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</si>
  <si>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</si>
  <si>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</si>
  <si>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</si>
  <si>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</si>
  <si>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</si>
  <si>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</si>
  <si>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</si>
  <si>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</si>
  <si>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</si>
  <si>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</si>
  <si>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</si>
  <si>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</si>
  <si>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</si>
  <si>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</si>
  <si>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</si>
  <si>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</si>
  <si>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</si>
  <si>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</si>
  <si>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</si>
  <si>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</si>
  <si>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</si>
  <si>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</si>
  <si>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</si>
  <si>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</si>
  <si>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</si>
  <si>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</si>
  <si>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</si>
  <si>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</si>
  <si>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</si>
  <si>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</si>
  <si>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</si>
  <si>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</si>
  <si>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</si>
  <si>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</si>
  <si>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</si>
  <si>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</si>
  <si>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</si>
  <si>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</si>
  <si>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</si>
  <si>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</si>
  <si>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</si>
  <si>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</si>
  <si>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</si>
  <si>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</si>
  <si>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</si>
  <si>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</si>
  <si>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</si>
  <si>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</si>
  <si>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</si>
  <si>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</si>
  <si>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</si>
  <si>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</si>
  <si>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</si>
  <si>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</si>
  <si>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</si>
  <si>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</si>
  <si>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</si>
  <si>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</si>
  <si>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</si>
  <si>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</si>
  <si>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</si>
  <si>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</si>
  <si>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</si>
  <si>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</si>
  <si>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</si>
  <si>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</si>
  <si>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</si>
  <si>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</si>
  <si>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</si>
  <si>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</si>
  <si>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</si>
  <si>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</si>
  <si>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</si>
  <si>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</si>
  <si>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</si>
  <si>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</si>
  <si>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</si>
  <si>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</si>
  <si>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</si>
  <si>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</si>
  <si>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</si>
  <si>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</si>
  <si>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</si>
  <si>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</si>
  <si>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</si>
  <si>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</si>
  <si>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</si>
  <si>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</si>
  <si>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</si>
  <si>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</si>
  <si>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</si>
  <si>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</si>
  <si>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</si>
  <si>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</si>
  <si>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</si>
  <si>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</si>
  <si>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</si>
  <si>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</si>
  <si>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</si>
  <si>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</si>
  <si>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</si>
  <si>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</si>
  <si>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</si>
  <si>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</si>
  <si>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</si>
  <si>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</si>
  <si>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</si>
  <si>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</si>
  <si>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</si>
  <si>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</si>
  <si>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</si>
  <si>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</si>
  <si>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</si>
  <si>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</si>
  <si>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</si>
  <si>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</si>
  <si>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</si>
  <si>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</si>
  <si>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</si>
  <si>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</si>
  <si>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</si>
  <si>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</si>
  <si>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</si>
  <si>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</si>
  <si>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</si>
  <si>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</si>
  <si>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</si>
  <si>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</si>
  <si>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</si>
  <si>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</si>
  <si>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</si>
  <si>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</si>
  <si>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</si>
  <si>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</si>
  <si>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</si>
  <si>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</si>
  <si>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</si>
  <si>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</si>
  <si>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</si>
  <si>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</si>
  <si>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</si>
  <si>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</si>
  <si>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</si>
  <si>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</si>
  <si>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</si>
  <si>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</si>
  <si>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</si>
  <si>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</si>
  <si>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</si>
  <si>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</si>
  <si>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</si>
  <si>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</si>
  <si>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</si>
  <si>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</si>
  <si>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</si>
  <si>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</si>
  <si>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</si>
  <si>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</si>
  <si>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</si>
  <si>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</si>
  <si>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</si>
  <si>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</si>
  <si>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</si>
  <si>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</si>
  <si>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</si>
  <si>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</si>
  <si>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</si>
  <si>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</si>
  <si>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</si>
  <si>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</si>
  <si>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</si>
  <si>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</si>
  <si>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</si>
  <si>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</si>
  <si>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</si>
  <si>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</si>
  <si>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</si>
  <si>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</si>
  <si>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</si>
  <si>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</si>
  <si>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</si>
  <si>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</si>
  <si>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</si>
  <si>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</si>
  <si>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</si>
  <si>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</si>
  <si>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</si>
  <si>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</si>
  <si>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</si>
  <si>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</si>
  <si>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</si>
  <si>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</si>
  <si>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</si>
  <si>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</si>
  <si>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</si>
  <si>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</si>
  <si>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</si>
  <si>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</si>
  <si>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</si>
  <si>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</si>
  <si>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</si>
  <si>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</si>
  <si>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</si>
  <si>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</si>
  <si>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</si>
  <si>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</si>
  <si>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</si>
  <si>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</si>
  <si>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</si>
  <si>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</si>
  <si>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</si>
  <si>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</si>
  <si>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</si>
  <si>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</si>
  <si>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</si>
  <si>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</si>
  <si>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</si>
  <si>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</si>
  <si>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</si>
  <si>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</si>
  <si>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</si>
  <si>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</si>
  <si>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</si>
  <si>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</si>
  <si>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</si>
  <si>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</si>
  <si>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</si>
  <si>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</si>
  <si>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</si>
  <si>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</si>
  <si>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</si>
  <si>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</si>
  <si>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</si>
  <si>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</si>
  <si>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</si>
  <si>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</si>
  <si>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</si>
  <si>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</si>
  <si>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</si>
  <si>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</si>
  <si>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</si>
  <si>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</si>
  <si>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</si>
  <si>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</si>
  <si>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</si>
  <si>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</si>
  <si>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</si>
  <si>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</si>
  <si>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</si>
  <si>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</si>
  <si>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</si>
  <si>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</si>
  <si>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</si>
  <si>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</si>
  <si>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</si>
  <si>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</si>
  <si>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</si>
  <si>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</si>
  <si>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</si>
  <si>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</si>
  <si>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</si>
  <si>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</si>
  <si>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</si>
  <si>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</si>
  <si>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</si>
  <si>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</si>
  <si>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</si>
  <si>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</si>
  <si>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</si>
  <si>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</si>
  <si>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</si>
  <si>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</si>
  <si>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</si>
  <si>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</si>
  <si>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</si>
  <si>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</si>
  <si>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</si>
  <si>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</si>
  <si>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</si>
  <si>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</si>
  <si>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</si>
  <si>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</si>
  <si>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</si>
  <si>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</si>
  <si>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</si>
  <si>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</si>
  <si>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</si>
  <si>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</si>
  <si>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</si>
  <si>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</si>
  <si>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</si>
  <si>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</si>
  <si>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</si>
  <si>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</si>
  <si>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</si>
  <si>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</si>
  <si>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</si>
  <si>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</si>
  <si>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</si>
  <si>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</si>
  <si>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</si>
  <si>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</si>
  <si>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</si>
  <si>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</si>
  <si>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</si>
  <si>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</si>
  <si>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</si>
  <si>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</si>
  <si>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</si>
  <si>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</si>
  <si>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</si>
  <si>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</si>
  <si>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</si>
  <si>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</si>
  <si>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</si>
  <si>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</si>
  <si>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</si>
  <si>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</si>
  <si>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</si>
  <si>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</si>
  <si>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</si>
  <si>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</si>
  <si>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</si>
  <si>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</si>
  <si>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</si>
  <si>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</si>
  <si>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</si>
  <si>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</si>
  <si>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</si>
  <si>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</si>
  <si>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</si>
  <si>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</si>
  <si>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</si>
  <si>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</si>
  <si>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</si>
  <si>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</si>
  <si>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</si>
  <si>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</si>
  <si>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</si>
  <si>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</si>
  <si>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</si>
  <si>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</si>
  <si>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</si>
  <si>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</si>
  <si>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</si>
  <si>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</si>
  <si>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</si>
  <si>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</si>
  <si>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</si>
  <si>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</si>
  <si>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</si>
  <si>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</si>
  <si>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</si>
  <si>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</si>
  <si>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</si>
  <si>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</si>
  <si>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</si>
  <si>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</si>
  <si>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</si>
  <si>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</si>
  <si>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</si>
  <si>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</si>
  <si>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</si>
  <si>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</si>
  <si>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</si>
  <si>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</si>
  <si>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</si>
  <si>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</si>
  <si>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</si>
  <si>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</si>
  <si>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</si>
  <si>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</si>
  <si>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</si>
  <si>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</si>
  <si>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</si>
  <si>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</si>
  <si>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</si>
  <si>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</si>
  <si>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</si>
  <si>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</si>
  <si>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</si>
  <si>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</si>
  <si>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</si>
  <si>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</si>
  <si>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</si>
  <si>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</si>
  <si>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</si>
  <si>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</si>
  <si>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</si>
  <si>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</si>
  <si>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</si>
  <si>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</si>
  <si>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</si>
  <si>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</si>
  <si>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</si>
  <si>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</si>
  <si>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</si>
  <si>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</si>
  <si>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</si>
  <si>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</si>
  <si>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</si>
  <si>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</si>
  <si>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</si>
  <si>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</si>
  <si>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</si>
  <si>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</si>
  <si>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</si>
  <si>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</si>
  <si>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</si>
  <si>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</si>
  <si>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</si>
  <si>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</si>
  <si>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</si>
  <si>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</si>
  <si>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</si>
  <si>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</si>
  <si>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</si>
  <si>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</si>
  <si>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</si>
  <si>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</si>
  <si>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</si>
  <si>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</si>
  <si>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</si>
  <si>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</si>
  <si>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</si>
  <si>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</si>
  <si>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</si>
  <si>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</si>
  <si>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</si>
  <si>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</si>
  <si>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</si>
  <si>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</si>
  <si>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</si>
  <si>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</si>
  <si>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</si>
  <si>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</si>
  <si>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</si>
  <si>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</si>
  <si>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</si>
  <si>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</si>
  <si>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</si>
  <si>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</si>
  <si>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</si>
  <si>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</si>
  <si>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</si>
  <si>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</si>
  <si>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</si>
  <si>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</si>
  <si>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</si>
  <si>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</si>
  <si>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</si>
  <si>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</si>
  <si>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</si>
  <si>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</si>
  <si>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</si>
  <si>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</si>
  <si>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</si>
  <si>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</si>
  <si>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</si>
  <si>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</si>
  <si>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</si>
  <si>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</si>
  <si>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</si>
  <si>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</si>
  <si>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</si>
  <si>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</si>
  <si>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</si>
  <si>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</si>
  <si>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</si>
  <si>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</si>
  <si>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</si>
  <si>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</si>
  <si>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</si>
  <si>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</si>
  <si>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</si>
  <si>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</si>
  <si>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</si>
  <si>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</si>
  <si>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</si>
  <si>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</si>
  <si>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</si>
  <si>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</si>
  <si>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</si>
  <si>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</si>
  <si>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</si>
  <si>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</si>
  <si>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</si>
  <si>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</si>
  <si>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</si>
  <si>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</si>
  <si>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</si>
  <si>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</si>
  <si>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</si>
  <si>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</si>
  <si>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</si>
  <si>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</si>
  <si>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</si>
  <si>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</si>
  <si>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</si>
  <si>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</si>
  <si>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</si>
  <si>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</si>
  <si>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</si>
  <si>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</si>
  <si>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</si>
  <si>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</si>
  <si>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</si>
  <si>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</si>
  <si>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</si>
  <si>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</si>
  <si>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</si>
  <si>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</si>
  <si>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</si>
  <si>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</si>
  <si>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</si>
  <si>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</si>
  <si>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</si>
  <si>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</si>
  <si>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</si>
  <si>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</si>
  <si>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</si>
  <si>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</si>
  <si>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</si>
  <si>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</si>
  <si>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</si>
  <si>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</si>
  <si>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</si>
  <si>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</si>
  <si>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</si>
  <si>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</si>
  <si>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</si>
  <si>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</si>
  <si>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</si>
  <si>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</si>
  <si>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</si>
  <si>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</si>
  <si>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</si>
  <si>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</si>
  <si>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</si>
  <si>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</si>
  <si>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</si>
  <si>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</si>
  <si>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</si>
  <si>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</si>
  <si>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</si>
  <si>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</si>
  <si>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</si>
  <si>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</si>
  <si>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</si>
  <si>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</si>
  <si>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</si>
  <si>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</si>
  <si>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</si>
  <si>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</si>
  <si>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</si>
  <si>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</si>
  <si>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</si>
  <si>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</si>
  <si>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</si>
  <si>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</si>
  <si>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</si>
  <si>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</si>
  <si>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</si>
  <si>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</si>
  <si>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</si>
  <si>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</si>
  <si>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</si>
  <si>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</si>
  <si>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</si>
  <si>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</si>
  <si>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</si>
  <si>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</si>
  <si>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</si>
  <si>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</si>
  <si>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</si>
  <si>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</si>
  <si>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</si>
  <si>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</si>
  <si>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</si>
  <si>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</si>
  <si>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</si>
  <si>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</si>
  <si>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</si>
  <si>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</si>
  <si>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</si>
  <si>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</si>
  <si>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</si>
  <si>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</si>
  <si>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</si>
  <si>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</si>
  <si>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</si>
  <si>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</si>
  <si>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</si>
  <si>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</si>
  <si>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</si>
  <si>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</si>
  <si>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</si>
  <si>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</si>
  <si>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</si>
  <si>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</si>
  <si>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</si>
  <si>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</si>
  <si>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</si>
  <si>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</si>
  <si>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</si>
  <si>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</si>
  <si>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</si>
  <si>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</si>
  <si>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</si>
  <si>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</si>
  <si>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</si>
  <si>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</si>
  <si>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</si>
  <si>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</si>
  <si>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</si>
  <si>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</si>
  <si>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</si>
  <si>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</si>
  <si>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</si>
  <si>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</si>
  <si>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</si>
  <si>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</si>
  <si>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</si>
  <si>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</si>
  <si>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</si>
  <si>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</si>
  <si>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</si>
  <si>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</si>
  <si>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</si>
  <si>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</si>
  <si>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</si>
  <si>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</si>
  <si>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</si>
  <si>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</si>
  <si>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</si>
  <si>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</si>
  <si>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</si>
  <si>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</si>
  <si>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</si>
  <si>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</si>
  <si>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</si>
  <si>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</si>
  <si>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</si>
  <si>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</si>
  <si>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</si>
  <si>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</si>
  <si>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</si>
  <si>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</si>
  <si>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</si>
  <si>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</si>
  <si>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</si>
  <si>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</si>
  <si>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</si>
  <si>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</si>
  <si>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</si>
  <si>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</si>
  <si>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</si>
  <si>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</si>
  <si>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</si>
  <si>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</si>
  <si>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</si>
  <si>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</si>
  <si>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</si>
  <si>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</si>
  <si>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</si>
  <si>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</si>
  <si>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</si>
  <si>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</si>
  <si>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</si>
  <si>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</si>
  <si>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</si>
  <si>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</si>
  <si>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</si>
  <si>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</si>
  <si>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</si>
  <si>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</si>
  <si>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</si>
  <si>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</si>
  <si>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</si>
  <si>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</si>
  <si>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</si>
  <si>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</si>
  <si>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</si>
  <si>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</si>
  <si>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</si>
  <si>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</si>
  <si>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</si>
  <si>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</si>
  <si>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</si>
  <si>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</si>
  <si>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</si>
  <si>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</si>
  <si>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</si>
  <si>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</si>
  <si>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</si>
  <si>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</si>
  <si>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</si>
  <si>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</si>
  <si>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</si>
  <si>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</si>
  <si>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</si>
  <si>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</si>
  <si>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</si>
  <si>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</si>
  <si>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</si>
  <si>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</si>
  <si>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</si>
  <si>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</si>
  <si>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</si>
  <si>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</si>
  <si>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</si>
  <si>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</si>
  <si>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</si>
  <si>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</si>
  <si>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</si>
  <si>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</si>
  <si>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</si>
  <si>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</si>
  <si>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</si>
  <si>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</si>
  <si>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</si>
  <si>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</si>
  <si>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</si>
  <si>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</si>
  <si>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</si>
  <si>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</si>
  <si>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</si>
  <si>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</si>
  <si>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</si>
  <si>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</si>
  <si>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</si>
  <si>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</si>
  <si>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</si>
  <si>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</si>
  <si>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</si>
  <si>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</si>
  <si>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</si>
  <si>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</si>
  <si>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</si>
  <si>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</si>
  <si>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</si>
  <si>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</si>
  <si>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</si>
  <si>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</si>
  <si>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</si>
  <si>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</si>
  <si>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</si>
  <si>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</si>
  <si>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</si>
  <si>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</si>
  <si>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</si>
  <si>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</si>
  <si>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</si>
  <si>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</si>
  <si>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</si>
  <si>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</si>
  <si>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</si>
  <si>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</si>
  <si>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</si>
  <si>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</si>
  <si>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</si>
  <si>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</si>
  <si>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</si>
  <si>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</si>
  <si>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</si>
  <si>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</si>
  <si>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</si>
  <si>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</si>
  <si>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</si>
  <si>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</si>
  <si>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</si>
  <si>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</si>
  <si>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</si>
  <si>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</si>
  <si>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</si>
  <si>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</si>
  <si>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</si>
  <si>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</si>
  <si>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</si>
  <si>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</si>
  <si>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</si>
  <si>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</si>
  <si>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</si>
  <si>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</si>
  <si>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</si>
  <si>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</si>
  <si>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</si>
  <si>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</si>
  <si>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</si>
  <si>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</si>
  <si>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</si>
  <si>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</si>
  <si>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</si>
  <si>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</si>
  <si>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</si>
  <si>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</si>
  <si>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</si>
  <si>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</si>
  <si>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</si>
  <si>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</si>
  <si>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</si>
  <si>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</si>
  <si>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</si>
  <si>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</si>
  <si>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</si>
  <si>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</si>
  <si>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</si>
  <si>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</si>
  <si>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</si>
  <si>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</si>
  <si>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</si>
  <si>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</si>
  <si>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</si>
  <si>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</si>
  <si>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</si>
  <si>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</si>
  <si>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</si>
  <si>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</si>
  <si>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</si>
  <si>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</si>
  <si>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</si>
  <si>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</si>
  <si>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</si>
  <si>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</si>
  <si>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</si>
  <si>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</si>
  <si>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</si>
  <si>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</si>
  <si>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</si>
  <si>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</si>
  <si>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</si>
  <si>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</si>
  <si>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</si>
  <si>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</si>
  <si>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</si>
  <si>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</si>
  <si>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</si>
  <si>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</si>
  <si>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</si>
  <si>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</si>
  <si>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</si>
  <si>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</si>
  <si>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</si>
  <si>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</si>
  <si>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</si>
  <si>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</si>
  <si>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</si>
  <si>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</si>
  <si>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</si>
  <si>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</si>
  <si>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</si>
  <si>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</si>
  <si>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</si>
  <si>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</si>
  <si>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</si>
  <si>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</si>
  <si>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</si>
  <si>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</si>
  <si>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</si>
  <si>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</si>
  <si>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</si>
  <si>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</si>
  <si>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</si>
  <si>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</si>
  <si>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</si>
  <si>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</si>
  <si>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</si>
  <si>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</si>
  <si>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</si>
  <si>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</si>
  <si>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</si>
  <si>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</si>
  <si>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</si>
  <si>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</si>
  <si>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</si>
  <si>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</si>
  <si>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</si>
  <si>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</si>
  <si>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</si>
  <si>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</si>
  <si>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</si>
  <si>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</si>
  <si>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</si>
  <si>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</si>
  <si>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</si>
  <si>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</si>
  <si>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</si>
  <si>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</si>
  <si>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</si>
  <si>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</si>
  <si>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</si>
  <si>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</si>
  <si>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</si>
  <si>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</si>
  <si>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</si>
  <si>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</si>
  <si>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</si>
  <si>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</si>
  <si>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</si>
  <si>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</si>
  <si>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</si>
  <si>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</si>
  <si>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</si>
  <si>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</si>
  <si>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</si>
  <si>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</si>
  <si>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</si>
  <si>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</si>
  <si>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</si>
  <si>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</si>
  <si>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</si>
  <si>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</si>
  <si>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</si>
  <si>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</si>
  <si>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</si>
  <si>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</si>
  <si>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</si>
  <si>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</si>
  <si>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</si>
  <si>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</si>
  <si>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</si>
  <si>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</si>
  <si>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</si>
  <si>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</si>
  <si>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</si>
  <si>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</si>
  <si>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</si>
  <si>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</si>
  <si>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</si>
  <si>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</si>
  <si>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</si>
  <si>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</si>
  <si>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</si>
  <si>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</si>
  <si>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</si>
  <si>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</si>
  <si>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</si>
  <si>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</si>
  <si>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</si>
  <si>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</si>
  <si>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</si>
  <si>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</si>
  <si>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</si>
  <si>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</si>
  <si>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</si>
  <si>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</si>
  <si>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</si>
  <si>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</si>
  <si>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</si>
  <si>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</si>
  <si>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</si>
  <si>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</si>
  <si>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</si>
  <si>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</si>
  <si>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</si>
  <si>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</si>
  <si>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</si>
  <si>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</si>
  <si>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</si>
  <si>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</si>
  <si>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</si>
  <si>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</si>
  <si>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</si>
  <si>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</si>
  <si>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</si>
  <si>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</si>
  <si>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</si>
  <si>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</si>
  <si>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</si>
  <si>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</si>
  <si>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</si>
  <si>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</si>
  <si>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</si>
  <si>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</si>
  <si>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</si>
  <si>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</si>
  <si>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</si>
  <si>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</si>
  <si>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</si>
  <si>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</si>
  <si>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</si>
  <si>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</si>
  <si>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</si>
  <si>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</si>
  <si>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</si>
  <si>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</si>
  <si>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</si>
  <si>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</si>
  <si>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</si>
  <si>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</si>
  <si>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</si>
  <si>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</si>
  <si>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</si>
  <si>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</si>
  <si>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</si>
  <si>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</si>
  <si>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</si>
  <si>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</si>
  <si>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</si>
  <si>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</si>
  <si>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</si>
  <si>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</si>
  <si>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</si>
  <si>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</si>
  <si>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</si>
  <si>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</si>
  <si>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</si>
  <si>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</si>
  <si>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</si>
  <si>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</si>
  <si>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</si>
  <si>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</si>
  <si>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</si>
  <si>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</si>
  <si>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</si>
  <si>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</si>
  <si>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</si>
  <si>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</si>
  <si>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</si>
  <si>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</si>
  <si>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</si>
  <si>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</si>
  <si>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</si>
  <si>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</si>
  <si>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</si>
  <si>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</si>
  <si>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</si>
  <si>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</si>
  <si>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</si>
  <si>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</si>
  <si>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</si>
  <si>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</si>
  <si>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</si>
  <si>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</si>
  <si>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</si>
  <si>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</si>
  <si>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</si>
  <si>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</si>
  <si>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</si>
  <si>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</si>
  <si>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</si>
  <si>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</si>
  <si>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</si>
  <si>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</si>
  <si>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</si>
  <si>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</si>
  <si>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</si>
  <si>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</si>
  <si>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</si>
  <si>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</si>
  <si>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</si>
  <si>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</si>
  <si>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</si>
  <si>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</si>
  <si>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</si>
  <si>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</si>
  <si>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</si>
  <si>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</si>
  <si>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</si>
  <si>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</si>
  <si>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</si>
  <si>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</si>
  <si>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</si>
  <si>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</si>
  <si>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</si>
  <si>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</si>
  <si>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</si>
  <si>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</si>
  <si>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</si>
  <si>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</si>
  <si>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</si>
  <si>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</si>
  <si>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</si>
  <si>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</si>
  <si>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</si>
  <si>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</si>
  <si>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</si>
  <si>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</si>
  <si>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</si>
  <si>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</si>
  <si>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</si>
  <si>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</si>
  <si>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</si>
  <si>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</si>
  <si>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</si>
  <si>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</si>
  <si>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</si>
  <si>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</si>
  <si>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</si>
  <si>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</si>
  <si>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</si>
  <si>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</si>
  <si>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</si>
  <si>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</si>
  <si>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</si>
  <si>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</si>
  <si>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</si>
  <si>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</si>
  <si>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</si>
  <si>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</si>
  <si>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</si>
  <si>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</si>
  <si>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</si>
  <si>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</si>
  <si>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</si>
  <si>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</si>
  <si>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</si>
  <si>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</si>
  <si>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</si>
  <si>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</si>
  <si>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</si>
  <si>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</si>
  <si>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</si>
  <si>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</si>
  <si>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</si>
  <si>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</si>
  <si>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</si>
  <si>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</si>
  <si>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</si>
  <si>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</si>
  <si>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</si>
  <si>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</si>
  <si>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</si>
  <si>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</si>
  <si>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</si>
  <si>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</si>
  <si>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</si>
  <si>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</si>
  <si>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</si>
  <si>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</si>
  <si>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</si>
  <si>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</si>
  <si>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</si>
  <si>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</si>
  <si>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</si>
  <si>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</si>
  <si>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</si>
  <si>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</si>
  <si>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</si>
  <si>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</si>
  <si>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</si>
  <si>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</si>
  <si>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</si>
  <si>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</si>
  <si>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</si>
  <si>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</si>
  <si>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</si>
  <si>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</si>
  <si>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</si>
  <si>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</si>
  <si>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</si>
  <si>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</si>
  <si>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</si>
  <si>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</si>
  <si>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</si>
  <si>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</si>
  <si>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</si>
  <si>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</si>
  <si>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</si>
  <si>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</si>
  <si>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</si>
  <si>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</si>
  <si>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</si>
  <si>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</si>
  <si>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</si>
  <si>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</si>
  <si>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</si>
  <si>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</si>
  <si>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</si>
  <si>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</si>
  <si>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</si>
  <si>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</si>
  <si>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</si>
  <si>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</si>
  <si>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</si>
  <si>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</si>
  <si>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</si>
  <si>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</si>
  <si>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</si>
  <si>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</si>
  <si>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</si>
  <si>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</si>
  <si>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</si>
  <si>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</si>
  <si>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</si>
  <si>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</si>
  <si>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</si>
  <si>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</si>
  <si>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</si>
  <si>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</si>
  <si>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</si>
  <si>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</si>
  <si>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</si>
  <si>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</si>
  <si>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</si>
  <si>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</si>
  <si>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</si>
  <si>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</si>
  <si>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</si>
  <si>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</si>
  <si>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</si>
  <si>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</si>
  <si>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</si>
  <si>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</si>
  <si>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</si>
  <si>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</si>
  <si>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</si>
  <si>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</si>
  <si>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</si>
  <si>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</si>
  <si>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</si>
  <si>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</si>
  <si>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</si>
  <si>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</si>
  <si>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</si>
  <si>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</si>
  <si>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</si>
  <si>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</si>
  <si>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</si>
  <si>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</si>
  <si>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</si>
  <si>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</si>
  <si>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</si>
  <si>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</si>
  <si>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</si>
  <si>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</si>
  <si>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</si>
  <si>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</si>
  <si>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</si>
  <si>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</si>
  <si>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</si>
  <si>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</si>
  <si>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</si>
  <si>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</si>
  <si>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</si>
  <si>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</si>
  <si>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</si>
  <si>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</si>
  <si>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</si>
  <si>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</si>
  <si>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</si>
  <si>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</si>
  <si>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</si>
  <si>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</si>
  <si>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</si>
  <si>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</si>
  <si>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</si>
  <si>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</si>
  <si>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</si>
  <si>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</si>
  <si>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</si>
  <si>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</si>
  <si>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</si>
  <si>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</si>
  <si>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</si>
  <si>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</si>
  <si>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</si>
  <si>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</si>
  <si>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</si>
  <si>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</si>
  <si>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</si>
  <si>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</si>
  <si>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</si>
  <si>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</si>
  <si>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</si>
  <si>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</si>
  <si>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</si>
  <si>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</si>
  <si>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</si>
  <si>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</si>
  <si>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</si>
  <si>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</si>
  <si>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</si>
  <si>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</si>
  <si>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</si>
  <si>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</si>
  <si>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</si>
  <si>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</si>
  <si>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</si>
  <si>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</si>
  <si>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</si>
  <si>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</si>
  <si>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</si>
  <si>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</si>
  <si>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</si>
  <si>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</si>
  <si>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</si>
  <si>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</si>
  <si>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</si>
  <si>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</si>
  <si>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</si>
  <si>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</si>
  <si>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</si>
  <si>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</si>
  <si>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</si>
  <si>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</si>
  <si>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</si>
  <si>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</si>
  <si>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</si>
  <si>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</si>
  <si>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</si>
  <si>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</si>
  <si>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</si>
  <si>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</si>
  <si>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</si>
  <si>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</si>
  <si>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</si>
  <si>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</si>
  <si>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</si>
  <si>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</si>
  <si>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</si>
  <si>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</si>
  <si>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</si>
  <si>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</si>
  <si>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</si>
  <si>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</si>
  <si>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</si>
  <si>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</si>
  <si>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</si>
  <si>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</si>
  <si>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</si>
  <si>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</si>
  <si>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</si>
  <si>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</si>
  <si>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</si>
  <si>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</si>
  <si>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</si>
  <si>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</si>
  <si>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</si>
  <si>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</si>
  <si>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</si>
  <si>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</si>
  <si>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</si>
  <si>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</si>
  <si>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</si>
  <si>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</si>
  <si>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</si>
  <si>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</si>
  <si>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</si>
  <si>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</si>
  <si>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</si>
  <si>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</si>
  <si>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</si>
  <si>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</si>
  <si>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</si>
  <si>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</si>
  <si>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</si>
  <si>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</si>
  <si>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</si>
  <si>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</si>
  <si>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</si>
  <si>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</si>
  <si>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</si>
  <si>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</si>
  <si>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</si>
  <si>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</si>
  <si>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</si>
  <si>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</si>
  <si>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</si>
  <si>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</si>
  <si>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</si>
  <si>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</si>
  <si>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</si>
  <si>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</si>
  <si>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</si>
  <si>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</si>
  <si>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</si>
  <si>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</si>
  <si>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</si>
  <si>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</si>
  <si>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</si>
  <si>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</si>
  <si>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</si>
  <si>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</si>
  <si>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</si>
  <si>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</si>
  <si>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</si>
  <si>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</si>
  <si>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</si>
  <si>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</si>
  <si>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</si>
  <si>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</si>
  <si>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</si>
  <si>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</si>
  <si>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</si>
  <si>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</si>
  <si>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</si>
  <si>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</si>
  <si>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</si>
  <si>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</si>
  <si>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</si>
  <si>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</si>
  <si>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</si>
  <si>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</si>
  <si>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</si>
  <si>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</si>
  <si>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</si>
  <si>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</si>
  <si>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</si>
  <si>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</si>
  <si>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</si>
  <si>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</si>
  <si>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</si>
  <si>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</si>
  <si>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</si>
  <si>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</si>
  <si>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</si>
  <si>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</si>
  <si>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</si>
  <si>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</si>
  <si>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</si>
  <si>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</si>
  <si>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</si>
  <si>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</si>
  <si>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</si>
  <si>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</si>
  <si>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</si>
  <si>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</si>
  <si>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</si>
  <si>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</si>
  <si>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</si>
  <si>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</si>
  <si>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</si>
  <si>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</si>
  <si>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</si>
  <si>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</si>
  <si>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</si>
  <si>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</si>
  <si>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</si>
  <si>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</si>
  <si>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</si>
  <si>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</si>
  <si>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</si>
  <si>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</si>
  <si>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</si>
  <si>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</si>
  <si>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</si>
  <si>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</si>
  <si>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</si>
  <si>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</si>
  <si>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</si>
  <si>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</si>
  <si>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</si>
  <si>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</si>
  <si>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</si>
  <si>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</si>
  <si>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</si>
  <si>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</si>
  <si>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</si>
  <si>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</si>
  <si>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</si>
  <si>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</si>
  <si>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</si>
  <si>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</si>
  <si>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</si>
  <si>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</si>
  <si>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</si>
  <si>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</si>
  <si>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</si>
  <si>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</si>
  <si>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</si>
  <si>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</si>
  <si>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</si>
  <si>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</si>
  <si>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</si>
  <si>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</si>
  <si>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</si>
  <si>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</si>
  <si>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</si>
  <si>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</si>
  <si>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</si>
  <si>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</si>
  <si>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</si>
  <si>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</si>
  <si>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</si>
  <si>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</si>
  <si>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</si>
  <si>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</si>
  <si>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</si>
  <si>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</si>
  <si>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</si>
  <si>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</si>
  <si>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</si>
  <si>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</si>
  <si>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</si>
  <si>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</si>
  <si>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</si>
  <si>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</si>
  <si>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</si>
  <si>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</si>
  <si>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</si>
  <si>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</si>
  <si>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</si>
  <si>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</si>
  <si>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</si>
  <si>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</si>
  <si>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</si>
  <si>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</si>
  <si>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</si>
  <si>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</si>
  <si>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</si>
  <si>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</si>
  <si>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</si>
  <si>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</si>
  <si>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</si>
  <si>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</si>
  <si>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</si>
  <si>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</si>
  <si>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</si>
  <si>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</si>
  <si>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</si>
  <si>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</si>
  <si>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</si>
  <si>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</si>
  <si>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</si>
  <si>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</si>
  <si>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</si>
  <si>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</si>
  <si>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</si>
  <si>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</si>
  <si>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</si>
  <si>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</si>
  <si>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</si>
  <si>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</si>
  <si>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</si>
  <si>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</si>
  <si>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</si>
  <si>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</si>
  <si>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</si>
  <si>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</si>
  <si>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</si>
  <si>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</si>
  <si>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</si>
  <si>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</si>
  <si>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</si>
  <si>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</si>
  <si>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</si>
  <si>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</si>
  <si>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</si>
  <si>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</si>
  <si>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</si>
  <si>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</si>
  <si>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</si>
  <si>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</si>
  <si>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</si>
  <si>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</si>
  <si>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</si>
  <si>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</si>
  <si>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</si>
  <si>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</si>
  <si>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</si>
  <si>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</si>
  <si>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</si>
  <si>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</si>
  <si>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</si>
  <si>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</si>
  <si>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</si>
  <si>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</si>
  <si>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</si>
  <si>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</si>
  <si>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</si>
  <si>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</si>
  <si>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</si>
  <si>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</si>
  <si>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</si>
  <si>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</si>
  <si>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</si>
  <si>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</si>
  <si>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</si>
  <si>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</si>
  <si>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</si>
  <si>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</si>
  <si>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</si>
  <si>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</si>
  <si>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</si>
  <si>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</si>
  <si>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</si>
  <si>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</si>
  <si>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</si>
  <si>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</si>
  <si>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</si>
  <si>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</si>
  <si>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</si>
  <si>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</si>
  <si>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</si>
  <si>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</si>
  <si>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</si>
  <si>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</si>
  <si>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</si>
  <si>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</si>
  <si>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</si>
  <si>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</si>
  <si>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</si>
  <si>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</si>
  <si>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</si>
  <si>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</si>
  <si>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</si>
  <si>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</si>
  <si>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</si>
  <si>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</si>
  <si>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</si>
  <si>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</si>
  <si>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</si>
  <si>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</si>
  <si>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</si>
  <si>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</si>
  <si>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</si>
  <si>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</si>
  <si>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</si>
  <si>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</si>
  <si>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</si>
  <si>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</si>
  <si>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</si>
  <si>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</si>
  <si>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</si>
  <si>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</si>
  <si>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</si>
  <si>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</si>
  <si>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</si>
  <si>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</si>
  <si>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</si>
  <si>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</si>
  <si>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</si>
  <si>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</si>
  <si>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</si>
  <si>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</si>
  <si>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</si>
  <si>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</si>
  <si>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</si>
  <si>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</si>
  <si>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</si>
  <si>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</si>
  <si>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</si>
  <si>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</si>
  <si>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</si>
  <si>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</si>
  <si>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</si>
  <si>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</si>
  <si>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</si>
  <si>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</si>
  <si>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</si>
  <si>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</si>
  <si>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</si>
  <si>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</si>
  <si>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</si>
  <si>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</si>
  <si>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</si>
  <si>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</si>
  <si>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</si>
  <si>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</si>
  <si>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</si>
  <si>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</si>
  <si>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</si>
  <si>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</si>
  <si>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</si>
  <si>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</si>
  <si>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</si>
  <si>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</si>
  <si>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</si>
  <si>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</si>
  <si>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</si>
  <si>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</si>
  <si>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</si>
  <si>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</si>
  <si>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</si>
  <si>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</si>
  <si>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</si>
  <si>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</si>
  <si>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</si>
  <si>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</si>
  <si>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</si>
  <si>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</si>
  <si>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</si>
  <si>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</si>
  <si>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</si>
  <si>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</si>
  <si>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</si>
  <si>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</si>
  <si>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</si>
  <si>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</si>
  <si>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</si>
  <si>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</si>
  <si>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</si>
  <si>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</si>
  <si>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</si>
  <si>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</si>
  <si>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</si>
  <si>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</si>
  <si>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</si>
  <si>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</si>
  <si>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</si>
  <si>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</si>
  <si>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</si>
  <si>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</si>
  <si>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</si>
  <si>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</si>
  <si>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</si>
  <si>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</si>
  <si>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</si>
  <si>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</si>
  <si>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</si>
  <si>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</si>
  <si>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</si>
  <si>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</si>
  <si>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</si>
  <si>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</si>
  <si>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</si>
  <si>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</si>
  <si>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</si>
  <si>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</si>
  <si>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</si>
  <si>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</si>
  <si>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</si>
  <si>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</si>
  <si>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</si>
  <si>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</si>
  <si>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</si>
  <si>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</si>
  <si>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</si>
  <si>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</si>
  <si>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</si>
  <si>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</si>
  <si>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</si>
  <si>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</si>
  <si>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</si>
  <si>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</si>
  <si>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</si>
  <si>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</si>
  <si>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</si>
  <si>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</si>
  <si>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</si>
  <si>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</si>
  <si>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</si>
  <si>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</si>
  <si>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</si>
  <si>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</si>
  <si>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</si>
  <si>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</si>
  <si>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</si>
  <si>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</si>
  <si>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</si>
  <si>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</si>
  <si>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</si>
  <si>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</si>
  <si>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</si>
  <si>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</si>
  <si>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</si>
  <si>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</si>
  <si>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</si>
  <si>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</si>
  <si>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</si>
  <si>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</si>
  <si>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</si>
  <si>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</si>
  <si>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</si>
  <si>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</si>
  <si>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</si>
  <si>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</si>
  <si>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</si>
  <si>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</si>
  <si>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</si>
  <si>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</si>
  <si>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</si>
  <si>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</si>
  <si>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</si>
  <si>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</si>
  <si>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</si>
  <si>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</si>
  <si>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</si>
  <si>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</si>
  <si>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</si>
  <si>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</si>
  <si>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</si>
  <si>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</si>
  <si>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</si>
  <si>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</si>
  <si>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</si>
  <si>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</si>
  <si>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</si>
  <si>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</si>
  <si>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</si>
  <si>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</si>
  <si>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</si>
  <si>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</si>
  <si>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</si>
  <si>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</si>
  <si>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</si>
  <si>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</si>
  <si>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</si>
  <si>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</si>
  <si>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</si>
  <si>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</si>
  <si>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</si>
  <si>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</si>
  <si>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</si>
  <si>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</si>
  <si>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</si>
  <si>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</si>
  <si>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</si>
  <si>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</si>
  <si>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</si>
  <si>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</si>
  <si>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</si>
  <si>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</si>
  <si>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</si>
  <si>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</si>
  <si>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</si>
  <si>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</si>
  <si>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</si>
  <si>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</si>
  <si>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</si>
  <si>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</si>
  <si>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</si>
  <si>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</si>
  <si>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</si>
  <si>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</si>
  <si>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</si>
  <si>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</si>
  <si>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</si>
  <si>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</si>
  <si>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</si>
  <si>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</si>
  <si>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</si>
  <si>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</si>
  <si>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</si>
  <si>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</si>
  <si>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</si>
  <si>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</si>
  <si>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</si>
  <si>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</si>
  <si>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</si>
  <si>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</si>
  <si>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</si>
  <si>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</si>
  <si>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</si>
  <si>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</si>
  <si>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</si>
  <si>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</si>
  <si>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</si>
  <si>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</si>
  <si>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</si>
  <si>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</si>
  <si>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</si>
  <si>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</si>
  <si>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</si>
  <si>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</si>
  <si>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</si>
  <si>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</si>
  <si>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</si>
  <si>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</si>
  <si>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</si>
  <si>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</si>
  <si>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</si>
  <si>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</si>
  <si>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</si>
  <si>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</si>
  <si>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</si>
  <si>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</si>
  <si>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</si>
  <si>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</si>
  <si>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</si>
  <si>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</si>
  <si>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</si>
  <si>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</si>
  <si>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</si>
  <si>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</si>
  <si>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</si>
  <si>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</si>
  <si>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</si>
  <si>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</si>
  <si>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</si>
  <si>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</si>
  <si>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</si>
  <si>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</si>
  <si>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</si>
  <si>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</si>
  <si>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</si>
  <si>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</si>
  <si>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</si>
  <si>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</si>
  <si>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</si>
  <si>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</si>
  <si>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</si>
  <si>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</si>
  <si>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</si>
  <si>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</si>
  <si>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</si>
  <si>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</si>
  <si>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</si>
  <si>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</si>
  <si>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</si>
  <si>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</si>
  <si>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</si>
  <si>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</si>
  <si>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</si>
  <si>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</si>
  <si>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</si>
  <si>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</si>
  <si>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</si>
  <si>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</si>
  <si>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</si>
  <si>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</si>
  <si>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</si>
  <si>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</si>
  <si>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</si>
  <si>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</si>
  <si>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</si>
  <si>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</si>
  <si>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</si>
  <si>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</si>
  <si>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</si>
  <si>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</si>
  <si>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</si>
  <si>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</si>
  <si>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</si>
  <si>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</si>
  <si>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</si>
  <si>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</si>
  <si>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</si>
  <si>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</si>
  <si>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</si>
  <si>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</si>
  <si>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</si>
  <si>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</si>
  <si>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</si>
  <si>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</si>
  <si>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</si>
  <si>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</si>
  <si>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</si>
  <si>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</si>
  <si>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</si>
  <si>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</si>
  <si>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</si>
  <si>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</si>
  <si>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</si>
  <si>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</si>
  <si>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</si>
  <si>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</si>
  <si>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</si>
  <si>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</si>
  <si>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</si>
  <si>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</si>
  <si>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</si>
  <si>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</si>
  <si>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</si>
  <si>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</si>
  <si>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</si>
  <si>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</si>
  <si>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</si>
  <si>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</si>
  <si>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</si>
  <si>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</si>
  <si>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</si>
  <si>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</si>
  <si>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</si>
  <si>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</si>
  <si>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</si>
  <si>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</si>
  <si>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</si>
  <si>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</si>
  <si>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</si>
  <si>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</si>
  <si>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</si>
  <si>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</si>
  <si>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</si>
  <si>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</si>
  <si>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</si>
  <si>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</si>
  <si>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</si>
  <si>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</si>
  <si>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</si>
  <si>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</si>
  <si>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</si>
  <si>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</si>
  <si>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</si>
  <si>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</si>
  <si>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</si>
  <si>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</si>
  <si>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</si>
  <si>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</si>
  <si>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</si>
  <si>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</si>
  <si>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</si>
  <si>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</si>
  <si>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</si>
  <si>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</si>
  <si>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</si>
  <si>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</si>
  <si>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</si>
  <si>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</si>
  <si>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</si>
  <si>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</si>
  <si>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</si>
  <si>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</si>
  <si>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</si>
  <si>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</si>
  <si>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</si>
  <si>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</si>
  <si>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</si>
  <si>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</si>
  <si>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</si>
  <si>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</si>
  <si>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</si>
  <si>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</si>
  <si>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</si>
  <si>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</si>
  <si>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</si>
  <si>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</si>
  <si>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</si>
  <si>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</si>
  <si>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</si>
  <si>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</si>
  <si>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</si>
  <si>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</si>
  <si>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</si>
  <si>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</si>
  <si>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</si>
  <si>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</si>
  <si>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</si>
  <si>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</si>
  <si>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</si>
  <si>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</si>
  <si>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</si>
  <si>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</si>
  <si>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</si>
  <si>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</si>
  <si>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</si>
  <si>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</si>
  <si>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</si>
  <si>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</si>
  <si>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</si>
  <si>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</si>
  <si>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</si>
  <si>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</si>
  <si>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</si>
  <si>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</si>
  <si>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</si>
  <si>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</si>
  <si>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</si>
  <si>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</si>
  <si>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</si>
  <si>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</si>
  <si>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</si>
  <si>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</si>
  <si>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</si>
  <si>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</si>
  <si>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</si>
  <si>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</si>
  <si>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</si>
  <si>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</si>
  <si>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</si>
  <si>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</si>
  <si>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</si>
  <si>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</si>
  <si>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</si>
  <si>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</si>
  <si>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</si>
  <si>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</si>
  <si>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</si>
  <si>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</si>
  <si>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</si>
  <si>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</si>
  <si>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</si>
  <si>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</si>
  <si>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</si>
  <si>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</si>
  <si>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</si>
  <si>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</si>
  <si>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</si>
  <si>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</si>
  <si>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</si>
  <si>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</si>
  <si>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</si>
  <si>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</si>
  <si>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</si>
  <si>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</si>
  <si>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</si>
  <si>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</si>
  <si>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</si>
  <si>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</si>
  <si>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</si>
  <si>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</si>
  <si>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</si>
  <si>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</si>
  <si>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</si>
  <si>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</si>
  <si>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</si>
  <si>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</si>
  <si>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</si>
  <si>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</si>
  <si>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</si>
  <si>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</si>
  <si>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</si>
  <si>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</si>
  <si>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</si>
  <si>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</si>
  <si>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</si>
  <si>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</si>
  <si>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</si>
  <si>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</si>
  <si>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</si>
  <si>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</si>
  <si>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</si>
  <si>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</si>
  <si>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</si>
  <si>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</si>
  <si>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</si>
  <si>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</si>
  <si>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</si>
  <si>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</si>
  <si>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</si>
  <si>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</si>
  <si>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</si>
  <si>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</si>
  <si>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</si>
  <si>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</si>
  <si>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</si>
  <si>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</si>
  <si>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</si>
  <si>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</si>
  <si>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</si>
  <si>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</si>
  <si>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</si>
  <si>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</si>
  <si>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</si>
  <si>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</si>
  <si>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</si>
  <si>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</si>
  <si>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</si>
  <si>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</si>
  <si>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</si>
  <si>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</si>
  <si>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</si>
  <si>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</si>
  <si>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</si>
  <si>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</si>
  <si>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</si>
  <si>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</si>
  <si>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</si>
  <si>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</si>
  <si>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</si>
  <si>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</si>
  <si>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</si>
  <si>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</si>
  <si>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</si>
  <si>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</si>
  <si>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</si>
  <si>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</si>
  <si>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</si>
  <si>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</si>
  <si>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</si>
  <si>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</si>
  <si>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</si>
  <si>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</si>
  <si>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</si>
  <si>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</si>
  <si>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</si>
  <si>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</si>
  <si>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</si>
  <si>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</si>
  <si>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</si>
  <si>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</si>
  <si>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</si>
  <si>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</si>
  <si>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</si>
  <si>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</si>
  <si>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</si>
  <si>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</si>
  <si>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</si>
  <si>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</si>
  <si>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</si>
  <si>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</si>
  <si>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</si>
  <si>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</si>
  <si>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</si>
  <si>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</si>
  <si>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</si>
  <si>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</si>
  <si>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</si>
  <si>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</si>
  <si>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</si>
  <si>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</si>
  <si>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</si>
  <si>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</si>
  <si>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</si>
  <si>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</si>
  <si>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</si>
  <si>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</si>
  <si>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</si>
  <si>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</si>
  <si>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</si>
  <si>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</si>
  <si>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</si>
  <si>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</si>
  <si>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</si>
  <si>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</si>
  <si>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</si>
  <si>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</si>
  <si>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</si>
  <si>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</si>
  <si>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</si>
  <si>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</si>
  <si>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</si>
  <si>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</si>
  <si>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</si>
  <si>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</si>
  <si>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</si>
  <si>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</si>
  <si>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</si>
  <si>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</si>
  <si>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</si>
  <si>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</si>
  <si>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</si>
  <si>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</si>
  <si>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</si>
  <si>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</si>
  <si>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</si>
  <si>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</si>
  <si>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</si>
  <si>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</si>
  <si>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</si>
  <si>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</si>
  <si>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</si>
  <si>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</si>
  <si>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</si>
  <si>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</si>
  <si>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</si>
  <si>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</si>
  <si>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</si>
  <si>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</si>
  <si>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</si>
  <si>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</si>
  <si>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</si>
  <si>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</si>
  <si>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</si>
  <si>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</si>
  <si>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</si>
  <si>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</si>
  <si>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</si>
  <si>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</si>
  <si>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</si>
  <si>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</si>
  <si>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</si>
  <si>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</si>
  <si>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</si>
  <si>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</si>
  <si>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</si>
  <si>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</si>
  <si>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</si>
  <si>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</si>
  <si>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</si>
  <si>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</si>
  <si>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</si>
  <si>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</si>
  <si>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</si>
  <si>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</si>
  <si>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</si>
  <si>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</si>
  <si>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</si>
  <si>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</si>
  <si>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</si>
  <si>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</si>
  <si>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</si>
  <si>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</si>
  <si>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</si>
  <si>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</si>
  <si>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</si>
  <si>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</si>
  <si>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</si>
  <si>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</si>
  <si>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</si>
  <si>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</si>
  <si>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</si>
  <si>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</si>
  <si>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</si>
  <si>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</si>
  <si>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</si>
  <si>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</si>
  <si>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</si>
  <si>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</si>
  <si>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</si>
  <si>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</si>
  <si>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</si>
  <si>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</si>
  <si>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</si>
  <si>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</si>
  <si>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</si>
  <si>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</si>
  <si>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</si>
  <si>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</si>
  <si>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</si>
  <si>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</si>
  <si>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</si>
  <si>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</si>
  <si>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</si>
  <si>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</si>
  <si>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</si>
  <si>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</si>
  <si>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</si>
  <si>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</si>
  <si>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</si>
  <si>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</si>
  <si>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</si>
  <si>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</si>
  <si>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</si>
  <si>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</si>
  <si>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</si>
  <si>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</si>
  <si>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</si>
  <si>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</si>
  <si>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</si>
  <si>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</si>
  <si>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</si>
  <si>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</si>
  <si>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</si>
  <si>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</si>
  <si>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</si>
  <si>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</si>
  <si>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</si>
  <si>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</si>
  <si>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</si>
  <si>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</si>
  <si>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</si>
  <si>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</si>
  <si>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</si>
  <si>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</si>
  <si>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</si>
  <si>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</si>
  <si>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</si>
  <si>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</si>
  <si>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</si>
  <si>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</si>
  <si>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</si>
  <si>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</si>
  <si>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</si>
  <si>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</si>
  <si>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</si>
  <si>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</si>
  <si>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</si>
  <si>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</si>
  <si>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</si>
  <si>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</si>
  <si>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</si>
  <si>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</si>
  <si>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</si>
  <si>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</si>
  <si>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</si>
  <si>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</si>
  <si>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</si>
  <si>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</si>
  <si>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</si>
  <si>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</si>
  <si>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</si>
  <si>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</si>
  <si>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</si>
  <si>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</si>
  <si>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</si>
  <si>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</si>
  <si>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</si>
  <si>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</si>
  <si>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</si>
  <si>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</si>
  <si>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</si>
  <si>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</si>
  <si>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</si>
  <si>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</si>
  <si>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</si>
  <si>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</si>
  <si>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</si>
  <si>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</si>
  <si>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</si>
  <si>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</si>
  <si>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</si>
  <si>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</si>
  <si>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</si>
  <si>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</si>
  <si>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</si>
  <si>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</si>
  <si>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</si>
  <si>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</si>
  <si>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</si>
  <si>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</si>
  <si>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</si>
  <si>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</si>
  <si>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</si>
  <si>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</si>
  <si>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</si>
  <si>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</si>
  <si>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</si>
  <si>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</si>
  <si>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</si>
  <si>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</si>
  <si>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</si>
  <si>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</si>
  <si>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</si>
  <si>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</si>
  <si>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</si>
  <si>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</si>
  <si>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</si>
  <si>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</si>
  <si>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</si>
  <si>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</si>
  <si>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</si>
  <si>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</si>
  <si>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</si>
  <si>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</si>
  <si>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</si>
  <si>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</si>
  <si>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</si>
  <si>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</si>
  <si>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</si>
  <si>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</si>
  <si>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</si>
  <si>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</si>
  <si>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</si>
  <si>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</si>
  <si>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</si>
  <si>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</si>
  <si>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</si>
  <si>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</si>
  <si>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</si>
  <si>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</si>
  <si>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</si>
  <si>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</si>
  <si>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</si>
  <si>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</si>
  <si>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</si>
  <si>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</si>
  <si>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</si>
  <si>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</si>
  <si>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</si>
  <si>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</si>
  <si>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</si>
  <si>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</si>
  <si>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</si>
  <si>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</si>
  <si>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</si>
  <si>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</si>
  <si>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</si>
  <si>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</si>
  <si>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</si>
  <si>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</si>
  <si>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</si>
  <si>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</si>
  <si>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</si>
  <si>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</si>
  <si>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</si>
  <si>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</si>
  <si>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</si>
  <si>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</si>
  <si>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</si>
  <si>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</si>
  <si>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</si>
  <si>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</si>
  <si>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</si>
  <si>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</si>
  <si>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</si>
  <si>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</si>
  <si>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</si>
  <si>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</si>
  <si>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</si>
  <si>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</si>
  <si>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</si>
  <si>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</si>
  <si>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</si>
  <si>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</si>
  <si>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</si>
  <si>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</si>
  <si>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</si>
  <si>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</si>
  <si>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</si>
  <si>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</si>
  <si>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</si>
  <si>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</si>
  <si>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</si>
  <si>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</si>
  <si>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</si>
  <si>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</si>
  <si>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</si>
  <si>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</si>
  <si>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</si>
  <si>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</si>
  <si>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</si>
  <si>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</si>
  <si>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</si>
  <si>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</si>
  <si>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</si>
  <si>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</si>
  <si>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</si>
  <si>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</si>
  <si>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</si>
  <si>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</si>
  <si>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</si>
  <si>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</si>
  <si>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</si>
  <si>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</si>
  <si>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</si>
  <si>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</si>
  <si>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</si>
  <si>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</si>
  <si>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</si>
  <si>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</si>
  <si>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</si>
  <si>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</si>
  <si>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</si>
  <si>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</si>
  <si>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</si>
  <si>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</si>
  <si>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</si>
  <si>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</si>
  <si>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</si>
  <si>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</si>
  <si>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</si>
  <si>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</si>
  <si>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</si>
  <si>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</si>
  <si>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</si>
  <si>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</si>
  <si>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</si>
  <si>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</si>
  <si>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</si>
  <si>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</si>
  <si>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</si>
  <si>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</si>
  <si>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</si>
  <si>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</si>
  <si>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</si>
  <si>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</si>
  <si>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</si>
  <si>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</si>
  <si>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</si>
  <si>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</si>
  <si>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</si>
  <si>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</si>
  <si>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</si>
  <si>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</si>
  <si>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</si>
  <si>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</si>
  <si>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</si>
  <si>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</si>
  <si>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</si>
  <si>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</si>
  <si>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</si>
  <si>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</si>
  <si>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</si>
  <si>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</si>
  <si>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</si>
  <si>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</si>
  <si>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</si>
  <si>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</si>
  <si>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</si>
  <si>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</si>
  <si>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</si>
  <si>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</si>
  <si>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</si>
  <si>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</si>
  <si>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</si>
  <si>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</si>
  <si>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</si>
  <si>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</si>
  <si>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</si>
  <si>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</si>
  <si>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</si>
  <si>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</si>
  <si>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</si>
  <si>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</si>
  <si>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</si>
  <si>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</si>
  <si>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</si>
  <si>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</si>
  <si>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</si>
  <si>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</si>
  <si>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</si>
  <si>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</si>
  <si>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</si>
  <si>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</si>
  <si>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</si>
  <si>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</si>
  <si>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</si>
  <si>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</si>
  <si>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</si>
  <si>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</si>
  <si>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</si>
  <si>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</si>
  <si>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</si>
  <si>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</si>
  <si>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</si>
  <si>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</si>
  <si>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</si>
  <si>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</si>
  <si>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</si>
  <si>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</si>
  <si>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</si>
  <si>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</si>
  <si>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</si>
  <si>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</si>
  <si>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</si>
  <si>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</si>
  <si>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</si>
  <si>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</si>
  <si>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</si>
  <si>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</si>
  <si>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</si>
  <si>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</si>
  <si>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</si>
  <si>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</si>
  <si>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</si>
  <si>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</si>
  <si>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</si>
  <si>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</si>
  <si>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</si>
  <si>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</si>
  <si>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</si>
  <si>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</si>
  <si>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</si>
  <si>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</si>
  <si>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</si>
  <si>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</si>
  <si>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</si>
  <si>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</si>
  <si>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</si>
  <si>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</si>
  <si>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</si>
  <si>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</si>
  <si>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</si>
  <si>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</si>
  <si>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</si>
  <si>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</si>
  <si>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</si>
  <si>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</si>
  <si>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</si>
  <si>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</si>
  <si>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</si>
  <si>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</si>
  <si>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</si>
  <si>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</si>
  <si>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</si>
  <si>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</si>
  <si>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</si>
  <si>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</si>
  <si>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</si>
  <si>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</si>
  <si>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</si>
  <si>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</si>
  <si>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</si>
  <si>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</si>
  <si>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</si>
  <si>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</si>
  <si>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</si>
  <si>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</si>
  <si>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</si>
  <si>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</si>
  <si>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</si>
  <si>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</si>
  <si>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</si>
  <si>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</si>
  <si>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</si>
  <si>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</si>
  <si>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</si>
  <si>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</si>
  <si>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</si>
  <si>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</si>
  <si>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</si>
  <si>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</si>
  <si>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</si>
  <si>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</si>
  <si>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</si>
  <si>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</si>
  <si>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</si>
  <si>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</si>
  <si>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</si>
  <si>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</si>
  <si>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</si>
  <si>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</si>
  <si>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</si>
  <si>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</si>
  <si>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</si>
  <si>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</si>
  <si>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</si>
  <si>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</si>
  <si>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</si>
  <si>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</si>
  <si>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</si>
  <si>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</si>
  <si>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</si>
  <si>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</si>
  <si>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</si>
  <si>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</si>
  <si>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</si>
  <si>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</si>
  <si>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</si>
  <si>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</si>
  <si>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</si>
  <si>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</si>
  <si>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</si>
  <si>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</si>
  <si>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</si>
  <si>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</si>
  <si>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</si>
  <si>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</si>
  <si>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</si>
  <si>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</si>
  <si>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</si>
  <si>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</si>
  <si>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</si>
  <si>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</si>
  <si>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</si>
  <si>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</si>
  <si>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</si>
  <si>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</si>
  <si>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</si>
  <si>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</si>
  <si>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</si>
  <si>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</si>
  <si>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</si>
  <si>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</si>
  <si>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</si>
  <si>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</si>
  <si>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</si>
  <si>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</si>
  <si>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</si>
  <si>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</si>
  <si>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</si>
  <si>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</si>
  <si>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</si>
  <si>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</si>
  <si>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</si>
  <si>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</si>
  <si>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</si>
  <si>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</si>
  <si>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</si>
  <si>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</si>
  <si>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</si>
  <si>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</si>
  <si>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</si>
  <si>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</si>
  <si>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</si>
  <si>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</si>
  <si>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</si>
  <si>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</si>
  <si>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</si>
  <si>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</si>
  <si>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</si>
  <si>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</si>
  <si>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</si>
  <si>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</si>
  <si>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</si>
  <si>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</si>
  <si>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</si>
  <si>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</si>
  <si>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</si>
  <si>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</si>
  <si>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</si>
  <si>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</si>
  <si>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</si>
  <si>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</si>
  <si>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</si>
  <si>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</si>
  <si>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</si>
  <si>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</si>
  <si>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</si>
  <si>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</si>
  <si>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</si>
  <si>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</si>
  <si>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</si>
  <si>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</si>
  <si>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</si>
  <si>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</si>
  <si>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</si>
  <si>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</si>
  <si>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</si>
  <si>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</si>
  <si>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</si>
  <si>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</si>
  <si>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</si>
  <si>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</si>
  <si>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</si>
  <si>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</si>
  <si>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</si>
  <si>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</si>
  <si>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</si>
  <si>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</si>
  <si>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</si>
  <si>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</si>
  <si>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</si>
  <si>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</si>
  <si>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</si>
  <si>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</si>
  <si>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</si>
  <si>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</si>
  <si>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</si>
  <si>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</si>
  <si>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</si>
  <si>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</si>
  <si>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</si>
  <si>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</si>
  <si>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</si>
  <si>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</si>
  <si>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</si>
  <si>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</si>
  <si>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</si>
  <si>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</si>
  <si>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</si>
  <si>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</si>
  <si>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</si>
  <si>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</si>
  <si>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</si>
  <si>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</si>
  <si>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</si>
  <si>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</si>
  <si>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</si>
  <si>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</si>
  <si>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</si>
  <si>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</si>
  <si>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</si>
  <si>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</si>
  <si>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</si>
  <si>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</si>
  <si>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</si>
  <si>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</si>
  <si>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</si>
  <si>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</si>
  <si>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</si>
  <si>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</si>
  <si>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</si>
  <si>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</si>
  <si>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</si>
  <si>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</si>
  <si>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</si>
  <si>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</si>
  <si>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</si>
  <si>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</si>
  <si>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</si>
  <si>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</si>
  <si>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</si>
  <si>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</si>
  <si>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</si>
  <si>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</si>
  <si>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</si>
  <si>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</si>
  <si>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</si>
  <si>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</si>
  <si>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</si>
  <si>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</si>
  <si>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</si>
  <si>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</si>
  <si>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</si>
  <si>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</si>
  <si>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</si>
  <si>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</si>
  <si>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</si>
  <si>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</si>
  <si>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</si>
  <si>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</si>
  <si>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</si>
  <si>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</si>
  <si>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</si>
  <si>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</si>
  <si>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</si>
  <si>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</si>
  <si>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</si>
  <si>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</si>
  <si>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</si>
  <si>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</si>
  <si>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</si>
  <si>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</si>
  <si>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</si>
  <si>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</si>
  <si>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</si>
  <si>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</si>
  <si>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</si>
  <si>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</si>
  <si>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</si>
  <si>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</si>
  <si>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</si>
  <si>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</si>
  <si>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</si>
  <si>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</si>
  <si>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</si>
  <si>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</si>
  <si>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</si>
  <si>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</si>
  <si>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</si>
  <si>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</si>
  <si>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</si>
  <si>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</si>
  <si>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</si>
  <si>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</si>
  <si>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</si>
  <si>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</si>
  <si>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</si>
  <si>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</si>
  <si>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</si>
  <si>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</si>
  <si>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</si>
  <si>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</si>
  <si>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</si>
  <si>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</si>
  <si>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</si>
  <si>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</si>
  <si>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</si>
  <si>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</si>
  <si>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</si>
  <si>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</si>
  <si>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</si>
  <si>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</si>
  <si>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</si>
  <si>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</si>
  <si>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</si>
  <si>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</si>
  <si>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</si>
  <si>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</si>
  <si>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</si>
  <si>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</si>
  <si>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</si>
  <si>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</si>
  <si>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</si>
  <si>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</si>
  <si>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</si>
  <si>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</si>
  <si>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</si>
  <si>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</si>
  <si>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</si>
  <si>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</si>
  <si>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</si>
  <si>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</si>
  <si>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</si>
  <si>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</si>
  <si>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</si>
  <si>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</si>
  <si>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</si>
  <si>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</si>
  <si>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</si>
  <si>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</si>
  <si>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</si>
  <si>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</si>
  <si>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</si>
  <si>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</si>
  <si>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</si>
  <si>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</si>
  <si>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</si>
  <si>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</si>
  <si>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</si>
  <si>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</si>
  <si>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</si>
  <si>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</si>
  <si>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</si>
  <si>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</si>
  <si>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</si>
  <si>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</si>
  <si>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</si>
  <si>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</si>
  <si>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</si>
  <si>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</si>
  <si>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</si>
  <si>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</si>
  <si>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</si>
  <si>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</si>
  <si>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</si>
  <si>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</si>
  <si>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</si>
  <si>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</si>
  <si>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</si>
  <si>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</si>
  <si>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</si>
  <si>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</si>
  <si>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</si>
  <si>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</si>
  <si>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</si>
  <si>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</si>
  <si>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</si>
  <si>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</si>
  <si>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</si>
  <si>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</si>
  <si>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</si>
  <si>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</si>
  <si>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</si>
  <si>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</si>
  <si>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</si>
  <si>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</si>
  <si>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</si>
  <si>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</si>
  <si>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</si>
  <si>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</si>
  <si>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</si>
  <si>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</si>
  <si>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</si>
  <si>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</si>
  <si>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</si>
  <si>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</si>
  <si>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</si>
  <si>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</si>
  <si>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</si>
  <si>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</si>
  <si>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</si>
  <si>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</si>
  <si>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</si>
  <si>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</si>
  <si>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</si>
  <si>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</si>
  <si>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</si>
  <si>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</si>
  <si>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</si>
  <si>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</si>
  <si>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</si>
  <si>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</si>
  <si>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</si>
  <si>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</si>
  <si>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</si>
  <si>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</si>
  <si>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</si>
  <si>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</si>
  <si>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</si>
  <si>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</si>
  <si>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</si>
  <si>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</si>
  <si>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</si>
  <si>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</si>
  <si>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</si>
  <si>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</si>
  <si>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</si>
  <si>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</si>
  <si>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</si>
  <si>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</si>
  <si>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</si>
  <si>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</si>
  <si>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</si>
  <si>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</si>
  <si>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</si>
  <si>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</si>
  <si>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</si>
  <si>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</si>
  <si>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</si>
  <si>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</si>
  <si>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</si>
  <si>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</si>
  <si>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</si>
  <si>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</si>
  <si>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</si>
  <si>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</si>
  <si>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</si>
  <si>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</si>
  <si>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</si>
  <si>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</si>
  <si>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</si>
  <si>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</si>
  <si>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</si>
  <si>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</si>
  <si>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</si>
  <si>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</si>
  <si>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</si>
  <si>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</si>
  <si>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</si>
  <si>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</si>
  <si>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</si>
  <si>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</si>
  <si>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</si>
  <si>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</si>
  <si>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</si>
  <si>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</si>
  <si>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</si>
  <si>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</si>
  <si>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</si>
  <si>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</si>
  <si>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</si>
  <si>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</si>
  <si>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</si>
  <si>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</si>
  <si>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</si>
  <si>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</si>
  <si>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</si>
  <si>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</si>
  <si>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</si>
  <si>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</si>
  <si>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</si>
  <si>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</si>
  <si>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</si>
  <si>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</si>
  <si>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</si>
  <si>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</si>
  <si>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</si>
  <si>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</si>
  <si>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</si>
  <si>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</si>
  <si>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</si>
  <si>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</si>
  <si>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</si>
  <si>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</si>
  <si>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</si>
  <si>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</si>
  <si>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</si>
  <si>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</si>
  <si>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</si>
  <si>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</si>
  <si>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</si>
  <si>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</si>
  <si>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</si>
  <si>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</si>
  <si>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</si>
  <si>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</si>
  <si>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</si>
  <si>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</si>
  <si>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</si>
  <si>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</si>
  <si>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</si>
  <si>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</si>
  <si>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</si>
  <si>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</si>
  <si>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</si>
  <si>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</si>
  <si>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</si>
  <si>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</si>
  <si>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</si>
  <si>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</si>
  <si>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</si>
  <si>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</si>
  <si>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</si>
  <si>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</si>
  <si>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</si>
  <si>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</si>
  <si>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</si>
  <si>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</si>
  <si>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</si>
  <si>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</si>
  <si>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</si>
  <si>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</si>
  <si>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</si>
  <si>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</si>
  <si>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</si>
  <si>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</si>
  <si>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</si>
  <si>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</si>
  <si>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</si>
  <si>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</si>
  <si>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</si>
  <si>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</si>
  <si>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</si>
  <si>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</si>
  <si>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</si>
  <si>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</si>
  <si>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</si>
  <si>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</si>
  <si>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</si>
  <si>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</si>
  <si>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</si>
  <si>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</si>
  <si>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</si>
  <si>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</si>
  <si>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</si>
  <si>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</si>
  <si>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</si>
  <si>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</si>
  <si>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</si>
  <si>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</si>
  <si>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</si>
  <si>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</si>
  <si>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</si>
  <si>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</si>
  <si>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</si>
  <si>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</si>
  <si>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</si>
  <si>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</si>
  <si>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</si>
  <si>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</si>
  <si>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</si>
  <si>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</si>
  <si>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</si>
  <si>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</si>
  <si>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</si>
  <si>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</si>
  <si>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</si>
  <si>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</si>
  <si>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</si>
  <si>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</si>
  <si>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</si>
  <si>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</si>
  <si>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</si>
  <si>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</si>
  <si>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</si>
  <si>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</si>
  <si>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</si>
  <si>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</si>
  <si>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</si>
  <si>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</si>
  <si>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</si>
  <si>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</si>
  <si>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</si>
  <si>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</si>
  <si>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</si>
  <si>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</si>
  <si>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</si>
  <si>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</si>
  <si>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</si>
  <si>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</si>
  <si>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</si>
  <si>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</si>
  <si>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</si>
  <si>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</si>
  <si>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</si>
  <si>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</si>
  <si>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</si>
  <si>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</si>
  <si>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</si>
  <si>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</si>
  <si>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</si>
  <si>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</si>
  <si>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</si>
  <si>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</si>
  <si>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</si>
  <si>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</si>
  <si>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</si>
  <si>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</si>
  <si>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</si>
  <si>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</si>
  <si>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</si>
  <si>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</si>
  <si>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</si>
  <si>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</si>
  <si>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</si>
  <si>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</si>
  <si>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</si>
  <si>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</si>
  <si>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</si>
  <si>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</si>
  <si>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</si>
  <si>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</si>
  <si>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</si>
  <si>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</si>
  <si>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</si>
  <si>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</si>
  <si>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</si>
  <si>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</si>
  <si>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</si>
  <si>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</si>
  <si>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</si>
  <si>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</si>
  <si>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</si>
  <si>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</si>
  <si>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</si>
  <si>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</si>
  <si>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</si>
  <si>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</si>
  <si>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</si>
  <si>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</si>
  <si>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</si>
  <si>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</si>
  <si>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</si>
  <si>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</si>
  <si>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</si>
  <si>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</si>
  <si>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</si>
  <si>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</si>
  <si>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</si>
  <si>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</si>
  <si>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</si>
  <si>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</si>
  <si>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</si>
  <si>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</si>
  <si>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</si>
  <si>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</si>
  <si>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</si>
  <si>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</si>
  <si>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</si>
  <si>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</si>
  <si>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</si>
  <si>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</si>
  <si>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</si>
  <si>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</si>
  <si>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</si>
  <si>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</si>
  <si>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</si>
  <si>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</si>
  <si>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</si>
  <si>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</si>
  <si>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</si>
  <si>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</si>
  <si>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</si>
  <si>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</si>
  <si>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</si>
  <si>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</si>
  <si>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</si>
  <si>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</si>
  <si>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</si>
  <si>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</si>
  <si>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</si>
  <si>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</si>
  <si>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</si>
  <si>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</si>
  <si>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</si>
  <si>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</si>
  <si>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</si>
  <si>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</si>
  <si>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</si>
  <si>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</si>
  <si>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</si>
  <si>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</si>
  <si>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</si>
  <si>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</si>
  <si>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</si>
  <si>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</si>
  <si>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</si>
  <si>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</si>
  <si>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</si>
  <si>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</si>
  <si>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</si>
  <si>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</si>
  <si>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</si>
  <si>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</si>
  <si>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</si>
  <si>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</si>
  <si>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</si>
  <si>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</si>
  <si>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</si>
  <si>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</si>
  <si>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</si>
  <si>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</si>
  <si>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</si>
  <si>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</si>
  <si>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</si>
  <si>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</si>
  <si>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</si>
  <si>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</si>
  <si>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</si>
  <si>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</si>
  <si>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</si>
  <si>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</si>
  <si>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</si>
  <si>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</si>
  <si>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</si>
  <si>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</si>
  <si>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</si>
  <si>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</si>
  <si>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</si>
  <si>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</si>
  <si>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</si>
  <si>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</si>
  <si>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</si>
  <si>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</si>
  <si>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</si>
  <si>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</si>
  <si>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</si>
  <si>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</si>
  <si>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</si>
  <si>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</si>
  <si>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</si>
  <si>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</si>
  <si>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</si>
  <si>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</si>
  <si>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</si>
  <si>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</si>
  <si>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</si>
  <si>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</si>
  <si>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</si>
  <si>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</si>
  <si>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</si>
  <si>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</si>
  <si>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</si>
  <si>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</si>
  <si>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</si>
  <si>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</si>
  <si>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</si>
  <si>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</si>
  <si>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</si>
  <si>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</si>
  <si>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</si>
  <si>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</si>
  <si>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</si>
  <si>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</si>
  <si>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</si>
  <si>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</si>
  <si>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</si>
  <si>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</si>
  <si>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</si>
  <si>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</si>
  <si>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</si>
  <si>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</si>
  <si>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</si>
  <si>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</si>
  <si>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</si>
  <si>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</si>
  <si>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</si>
  <si>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</si>
  <si>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</si>
  <si>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</si>
  <si>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</si>
  <si>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</si>
  <si>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</si>
  <si>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</si>
  <si>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</si>
  <si>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</si>
  <si>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</si>
  <si>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</si>
  <si>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</si>
  <si>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</si>
  <si>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</si>
  <si>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</si>
  <si>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</si>
  <si>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</si>
  <si>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</si>
  <si>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</si>
  <si>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</si>
  <si>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</si>
  <si>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</si>
  <si>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</si>
  <si>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</si>
  <si>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</si>
  <si>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</si>
  <si>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</si>
  <si>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</si>
  <si>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</si>
  <si>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</si>
  <si>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</si>
  <si>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</si>
  <si>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</si>
  <si>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</si>
  <si>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</si>
  <si>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</si>
  <si>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</si>
  <si>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</si>
  <si>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</si>
  <si>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</si>
  <si>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</si>
  <si>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</si>
  <si>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</si>
  <si>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</si>
  <si>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</si>
  <si>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</si>
  <si>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</si>
  <si>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</si>
  <si>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</si>
  <si>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</si>
  <si>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</si>
  <si>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</si>
  <si>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</si>
  <si>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</si>
  <si>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</si>
  <si>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</si>
  <si>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</si>
  <si>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</si>
  <si>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</si>
  <si>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</si>
  <si>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</si>
  <si>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</si>
  <si>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</si>
  <si>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</si>
  <si>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</si>
  <si>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</si>
  <si>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</si>
  <si>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</si>
  <si>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</si>
  <si>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</si>
  <si>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</si>
  <si>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</si>
  <si>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</si>
  <si>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</si>
  <si>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</si>
  <si>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</si>
  <si>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</si>
  <si>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</si>
  <si>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</si>
  <si>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</si>
  <si>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</si>
  <si>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</si>
  <si>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</si>
  <si>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</si>
  <si>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</si>
  <si>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</si>
  <si>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</si>
  <si>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</si>
  <si>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</si>
  <si>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</si>
  <si>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</si>
  <si>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</si>
  <si>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</si>
  <si>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</si>
  <si>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</si>
  <si>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</si>
  <si>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</si>
  <si>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</si>
  <si>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</si>
  <si>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</si>
  <si>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</si>
  <si>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</si>
  <si>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</si>
  <si>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</si>
  <si>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</si>
  <si>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</si>
  <si>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</si>
  <si>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</si>
  <si>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</si>
  <si>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</si>
  <si>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</si>
  <si>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</si>
  <si>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</si>
  <si>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</si>
  <si>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</si>
  <si>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</si>
  <si>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</si>
  <si>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</si>
  <si>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</si>
  <si>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</si>
  <si>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</si>
  <si>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</si>
  <si>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</si>
  <si>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</si>
  <si>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</si>
  <si>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</si>
  <si>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</si>
  <si>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</si>
  <si>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</si>
  <si>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</si>
  <si>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</si>
  <si>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</si>
  <si>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</si>
  <si>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</si>
  <si>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</si>
  <si>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</si>
  <si>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</si>
  <si>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</si>
  <si>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</si>
  <si>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</si>
  <si>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</si>
  <si>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</si>
  <si>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</si>
  <si>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</si>
  <si>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</si>
  <si>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</si>
  <si>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</si>
  <si>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</si>
  <si>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</si>
  <si>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</si>
  <si>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</si>
  <si>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</si>
  <si>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</si>
  <si>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</si>
  <si>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</si>
  <si>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</si>
  <si>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</si>
  <si>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</si>
  <si>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</si>
  <si>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</si>
  <si>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</si>
  <si>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</si>
  <si>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</si>
  <si>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</si>
  <si>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</si>
  <si>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</si>
  <si>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</si>
  <si>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</si>
  <si>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</si>
  <si>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</si>
  <si>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</si>
  <si>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</si>
  <si>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</si>
  <si>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</si>
  <si>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</si>
  <si>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</si>
  <si>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</si>
  <si>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</si>
  <si>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</si>
  <si>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</si>
  <si>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</si>
  <si>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</si>
  <si>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</si>
  <si>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</si>
  <si>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</si>
  <si>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</si>
  <si>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</si>
  <si>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</si>
  <si>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</si>
  <si>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</si>
  <si>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</si>
  <si>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</si>
  <si>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</si>
  <si>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</si>
  <si>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</si>
  <si>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</si>
  <si>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</si>
  <si>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</si>
  <si>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</si>
  <si>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</si>
  <si>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</si>
  <si>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</si>
  <si>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</si>
  <si>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</si>
  <si>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</si>
  <si>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</si>
  <si>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</si>
  <si>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</si>
  <si>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</si>
  <si>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</si>
  <si>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</si>
  <si>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</si>
  <si>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</si>
  <si>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</si>
  <si>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</si>
  <si>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</si>
  <si>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</si>
  <si>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</si>
  <si>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</si>
  <si>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</si>
  <si>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</si>
  <si>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</si>
  <si>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</si>
  <si>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</si>
  <si>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</si>
  <si>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</si>
  <si>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</si>
  <si>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</si>
  <si>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</si>
  <si>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</si>
  <si>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</si>
  <si>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</si>
  <si>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</si>
  <si>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</si>
  <si>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</si>
  <si>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</si>
  <si>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</si>
  <si>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</si>
  <si>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</si>
  <si>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</si>
  <si>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</si>
  <si>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</si>
  <si>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</si>
  <si>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</si>
  <si>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</si>
  <si>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</si>
  <si>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</si>
  <si>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</si>
  <si>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</si>
  <si>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</si>
  <si>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</si>
  <si>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</si>
  <si>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</si>
  <si>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</si>
  <si>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</si>
  <si>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</si>
  <si>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</si>
  <si>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</si>
  <si>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</si>
  <si>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</si>
  <si>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</si>
  <si>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</si>
  <si>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</si>
  <si>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</si>
  <si>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</si>
  <si>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</si>
  <si>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</si>
  <si>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</si>
  <si>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</si>
  <si>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</si>
  <si>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</si>
  <si>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</si>
  <si>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</si>
  <si>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</si>
  <si>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</si>
  <si>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</si>
  <si>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</si>
  <si>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</si>
  <si>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</si>
  <si>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</si>
  <si>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</si>
  <si>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</si>
  <si>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</si>
  <si>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</si>
  <si>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</si>
  <si>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</si>
  <si>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</si>
  <si>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</si>
  <si>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</si>
  <si>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</si>
  <si>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</si>
  <si>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</si>
  <si>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</si>
  <si>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</si>
  <si>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</si>
  <si>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</si>
  <si>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</si>
  <si>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</si>
  <si>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</si>
  <si>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</si>
  <si>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</si>
  <si>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</si>
  <si>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</si>
  <si>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</si>
  <si>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</si>
  <si>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</si>
  <si>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</si>
  <si>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</si>
  <si>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</si>
  <si>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</si>
  <si>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</si>
  <si>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</si>
  <si>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</si>
  <si>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</si>
  <si>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</si>
  <si>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</si>
  <si>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</si>
  <si>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</si>
  <si>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</si>
  <si>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</si>
  <si>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</si>
  <si>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</si>
  <si>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</si>
  <si>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</si>
  <si>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</si>
  <si>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</si>
  <si>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</si>
  <si>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</si>
  <si>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</si>
  <si>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</si>
  <si>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</si>
  <si>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</si>
  <si>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</si>
  <si>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</si>
  <si>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</si>
  <si>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</si>
  <si>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</si>
  <si>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</si>
  <si>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</si>
  <si>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</si>
  <si>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</si>
  <si>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</si>
  <si>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</si>
  <si>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</si>
  <si>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</si>
  <si>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</si>
  <si>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</si>
  <si>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</si>
  <si>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</si>
  <si>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</si>
  <si>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</si>
  <si>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</si>
  <si>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</si>
  <si>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</si>
  <si>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</si>
  <si>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</si>
  <si>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</si>
  <si>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</si>
  <si>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</si>
  <si>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</si>
  <si>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</si>
  <si>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</si>
  <si>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</si>
  <si>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</si>
  <si>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</si>
  <si>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</si>
  <si>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</si>
  <si>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</si>
  <si>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</si>
  <si>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</si>
  <si>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</si>
  <si>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</si>
  <si>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</si>
  <si>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</si>
  <si>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</si>
  <si>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</si>
  <si>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</si>
  <si>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</si>
  <si>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</si>
  <si>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</si>
  <si>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</si>
  <si>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</si>
  <si>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</si>
  <si>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</si>
  <si>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</si>
  <si>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</si>
  <si>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</si>
  <si>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</si>
  <si>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</si>
  <si>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</si>
  <si>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</si>
  <si>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</si>
  <si>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</si>
  <si>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</si>
  <si>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</si>
  <si>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</si>
  <si>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</si>
  <si>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</si>
  <si>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</si>
  <si>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</si>
  <si>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</si>
  <si>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</si>
  <si>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</si>
  <si>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</si>
  <si>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</si>
  <si>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</si>
  <si>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</si>
  <si>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</si>
  <si>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</si>
  <si>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</si>
  <si>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</si>
  <si>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</si>
  <si>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</si>
  <si>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</si>
  <si>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</si>
  <si>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</si>
  <si>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</si>
  <si>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</si>
  <si>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</si>
  <si>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</si>
  <si>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</si>
  <si>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</si>
  <si>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</si>
  <si>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</si>
  <si>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</si>
  <si>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</si>
  <si>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</si>
  <si>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</si>
  <si>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</si>
  <si>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</si>
  <si>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</si>
  <si>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</si>
  <si>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</si>
  <si>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</si>
  <si>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</si>
  <si>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</si>
  <si>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</si>
  <si>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</si>
  <si>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</si>
  <si>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</si>
  <si>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</si>
  <si>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</si>
  <si>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</si>
  <si>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</si>
  <si>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</si>
  <si>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</si>
  <si>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</si>
  <si>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</si>
  <si>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</si>
  <si>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</si>
  <si>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</si>
  <si>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</si>
  <si>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</si>
  <si>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</si>
  <si>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</si>
  <si>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</si>
  <si>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</si>
  <si>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</si>
  <si>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</si>
  <si>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</si>
  <si>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</si>
  <si>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</si>
  <si>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</si>
  <si>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</si>
  <si>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</si>
  <si>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</si>
  <si>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</si>
  <si>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</si>
  <si>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</si>
  <si>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</si>
  <si>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</si>
  <si>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</si>
  <si>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</si>
  <si>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</si>
  <si>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</si>
  <si>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</si>
  <si>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</si>
  <si>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</si>
  <si>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</si>
  <si>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</si>
  <si>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</si>
  <si>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</si>
  <si>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</si>
  <si>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</si>
  <si>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</si>
  <si>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</si>
  <si>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</si>
  <si>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</si>
  <si>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</si>
  <si>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</si>
  <si>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</si>
  <si>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</si>
  <si>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</si>
  <si>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</si>
  <si>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</si>
  <si>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</si>
  <si>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</si>
  <si>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</si>
  <si>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</si>
  <si>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</si>
  <si>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</si>
  <si>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</si>
  <si>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</si>
  <si>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</si>
  <si>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</si>
  <si>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</si>
  <si>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</si>
  <si>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</si>
  <si>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</si>
  <si>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</si>
  <si>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</si>
  <si>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</si>
  <si>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</si>
  <si>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</si>
  <si>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</si>
  <si>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</si>
  <si>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</si>
  <si>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</si>
  <si>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</si>
  <si>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</si>
  <si>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</si>
  <si>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</si>
  <si>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</si>
  <si>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</si>
  <si>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</si>
  <si>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</si>
  <si>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</si>
  <si>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</si>
  <si>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</si>
  <si>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</si>
  <si>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</si>
  <si>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</si>
  <si>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</si>
  <si>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</si>
  <si>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</si>
  <si>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</si>
  <si>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</si>
  <si>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</si>
  <si>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</si>
  <si>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</si>
  <si>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</si>
  <si>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</si>
  <si>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</si>
  <si>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</si>
  <si>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</si>
  <si>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</si>
  <si>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</si>
  <si>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</si>
  <si>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</si>
  <si>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</si>
  <si>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</si>
  <si>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</si>
  <si>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</si>
  <si>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</si>
  <si>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</si>
  <si>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</si>
  <si>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</si>
  <si>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</si>
  <si>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</si>
  <si>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</si>
  <si>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</si>
  <si>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</si>
  <si>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</si>
  <si>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</si>
  <si>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</si>
  <si>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</si>
  <si>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</si>
  <si>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</si>
  <si>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</si>
  <si>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</si>
  <si>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</si>
  <si>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</si>
  <si>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</si>
  <si>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</si>
  <si>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</si>
  <si>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</si>
  <si>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</si>
  <si>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</si>
  <si>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</si>
  <si>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</si>
  <si>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</si>
  <si>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</si>
  <si>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</si>
  <si>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</si>
  <si>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</si>
  <si>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</si>
  <si>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</si>
  <si>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</si>
  <si>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</si>
  <si>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</si>
  <si>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</si>
  <si>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</si>
  <si>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</si>
  <si>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</si>
  <si>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</si>
  <si>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</si>
  <si>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</si>
  <si>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</si>
  <si>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</si>
  <si>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</si>
  <si>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</si>
  <si>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</si>
  <si>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</si>
  <si>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</si>
  <si>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</si>
  <si>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</si>
  <si>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</si>
  <si>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</si>
  <si>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</si>
  <si>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</si>
  <si>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</si>
  <si>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</si>
  <si>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</si>
  <si>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</si>
  <si>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</si>
  <si>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</si>
  <si>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</si>
  <si>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</si>
  <si>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</si>
  <si>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</si>
  <si>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</si>
  <si>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</si>
  <si>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</si>
  <si>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</si>
  <si>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</si>
  <si>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</si>
  <si>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</si>
  <si>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</si>
  <si>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</si>
  <si>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</si>
  <si>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</si>
  <si>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</si>
  <si>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</si>
  <si>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</si>
  <si>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</si>
  <si>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</si>
  <si>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</si>
  <si>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</si>
  <si>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</si>
  <si>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</si>
  <si>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</si>
  <si>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</si>
  <si>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</si>
  <si>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</si>
  <si>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</si>
  <si>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</si>
  <si>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</si>
  <si>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</si>
  <si>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</si>
  <si>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</si>
  <si>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</si>
  <si>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</si>
  <si>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</si>
  <si>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</si>
  <si>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</si>
  <si>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</si>
  <si>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</si>
  <si>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Roast Type2</t>
  </si>
  <si>
    <t>Row Labels</t>
  </si>
  <si>
    <t>Grand Total</t>
  </si>
  <si>
    <t>2019</t>
  </si>
  <si>
    <t>Jan</t>
  </si>
  <si>
    <t>Feb</t>
  </si>
  <si>
    <t>Mar</t>
  </si>
  <si>
    <t>Apr</t>
  </si>
  <si>
    <t>May</t>
  </si>
  <si>
    <t>Jun</t>
  </si>
  <si>
    <t>Jul</t>
  </si>
  <si>
    <t>Aug</t>
  </si>
  <si>
    <t>Sep</t>
  </si>
  <si>
    <t>Oct</t>
  </si>
  <si>
    <t>Nov</t>
  </si>
  <si>
    <t>Dec</t>
  </si>
  <si>
    <t>2020</t>
  </si>
  <si>
    <t>2021</t>
  </si>
  <si>
    <t>2022</t>
  </si>
  <si>
    <t>Sum of Sales</t>
  </si>
  <si>
    <t>Arabica</t>
  </si>
  <si>
    <t>Excelsa</t>
  </si>
  <si>
    <t>Liberica</t>
  </si>
  <si>
    <t>Robusta</t>
  </si>
  <si>
    <t>Years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</si>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</sst>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6" formatCode="dd\.mmm\.yyyy"/>
    <numFmt numFmtId="168"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horizontal="center"/>
    </xf>
    <xf numFmtId="0" fontId="0" fillId="0" borderId="0" xfId="0" applyAlignment="1">
      <alignment horizontal="center"/>
    </xf>
    <xf numFmtId="44" fontId="0" fillId="0" borderId="0" xfId="1" applyFont="1"/>
    <xf numFmtId="44" fontId="1" fillId="0" borderId="0" xfId="1" applyFont="1" applyAlignment="1">
      <alignment vertical="center"/>
    </xf>
    <xf numFmtId="168" fontId="0" fillId="0" borderId="0" xfId="1" applyNumberFormat="1" applyFont="1" applyAlignment="1">
      <alignment horizontal="center"/>
    </xf>
    <xf numFmtId="44" fontId="1" fillId="0" borderId="0" xfId="1" applyFont="1" applyAlignment="1">
      <alignment horizontal="center" vertical="center"/>
    </xf>
    <xf numFmtId="44" fontId="0" fillId="0" borderId="0" xfId="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3" fontId="0" fillId="0" borderId="0" xfId="0" applyNumberFormat="1"/>
  </cellXfs>
  <cellStyles count="2">
    <cellStyle name="Currency" xfId="1" builtinId="4"/>
    <cellStyle name="Normal" xfId="0" builtinId="0"/>
  </cellStyles>
  <dxfs count="23">
    <dxf>
      <font>
        <b/>
        <i val="0"/>
        <sz val="10"/>
        <color theme="0"/>
        <name val="Calibri"/>
        <family val="2"/>
        <scheme val="minor"/>
      </font>
    </dxf>
    <dxf>
      <font>
        <b val="0"/>
        <i val="0"/>
        <sz val="11"/>
        <color theme="0"/>
        <name val="Calibri"/>
        <family val="2"/>
        <scheme val="minor"/>
      </font>
      <fill>
        <patternFill>
          <bgColor rgb="FF3C1464"/>
        </patternFill>
      </fill>
    </dxf>
    <dxf>
      <font>
        <b val="0"/>
        <i val="0"/>
        <sz val="10"/>
        <color theme="0"/>
        <name val="Calibri Light"/>
        <family val="2"/>
        <scheme val="major"/>
      </font>
    </dxf>
    <dxf>
      <font>
        <b val="0"/>
        <i val="0"/>
        <sz val="11"/>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sz val="11"/>
        <color theme="1"/>
      </font>
    </dxf>
    <dxf>
      <font>
        <b val="0"/>
        <i val="0"/>
        <sz val="11"/>
        <name val="Calibri Light"/>
        <family val="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6" defaultTableStyle="TableStyleMedium2" defaultPivotStyle="PivotStyleMedium9">
    <tableStyle name="Purple Slicer " pivot="0" table="0" count="6" xr9:uid="{254D4695-BBFC-4161-95F3-E8565181FA3D}">
      <tableStyleElement type="wholeTable" dxfId="1"/>
      <tableStyleElement type="headerRow" dxfId="0"/>
    </tableStyle>
    <tableStyle name="Purple Timeline Style " pivot="0" table="0" count="8" xr9:uid="{2B7B30E3-352F-496C-9828-C701CC5E665F}">
      <tableStyleElement type="wholeTable" dxfId="3"/>
      <tableStyleElement type="headerRow" dxfId="2"/>
    </tableStyle>
    <tableStyle name="Purple Timeline Style 3" pivot="0" table="0" count="8" xr9:uid="{2E114041-BCEE-4813-AEA5-F89E37A55554}">
      <tableStyleElement type="wholeTable" dxfId="9"/>
      <tableStyleElement type="headerRow" dxfId="8"/>
    </tableStyle>
    <tableStyle name="Timeline Style 1" pivot="0" table="0" count="8" xr9:uid="{3B44DF7D-33CD-4BC5-A8A0-6152B01AB8E5}">
      <tableStyleElement type="wholeTable" dxfId="11"/>
      <tableStyleElement type="headerRow" dxfId="10"/>
    </tableStyle>
    <tableStyle name="Timeline Style 2" pivot="0" table="0" count="8" xr9:uid="{0D7FB179-9A60-45B1-AA1E-4EA7EA0B80FD}">
      <tableStyleElement type="wholeTable" dxfId="7"/>
      <tableStyleElement type="headerRow" dxfId="6"/>
    </tableStyle>
    <tableStyle name="Timeline Style 3" pivot="0" table="0" count="8" xr9:uid="{49011036-E8C5-4EFB-B449-2B3DD72D5B08}">
      <tableStyleElement type="wholeTable" dxfId="5"/>
      <tableStyleElement type="headerRow" dxfId="4"/>
    </tableStyle>
  </tableStyles>
  <colors>
    <mruColors>
      <color rgb="FFC9A5ED"/>
      <color rgb="FF581D93"/>
      <color rgb="FF3C1464"/>
      <color rgb="FFC165CD"/>
    </mruColors>
  </colors>
  <extLst>
    <ext xmlns:x14="http://schemas.microsoft.com/office/spreadsheetml/2009/9/main" uri="{46F421CA-312F-682f-3DD2-61675219B42D}">
      <x14:dxfs count="4">
        <dxf>
          <font>
            <b/>
            <i val="0"/>
            <color theme="0"/>
            <name val="Calibri"/>
            <family val="2"/>
            <scheme val="minor"/>
          </font>
          <border diagonalUp="0" diagonalDown="0">
            <left/>
            <right/>
            <top/>
            <bottom/>
            <vertical/>
            <horizontal/>
          </border>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auto="1"/>
            </left>
            <right style="thin">
              <color auto="1"/>
            </right>
            <top style="thin">
              <color auto="1"/>
            </top>
            <bottom style="thin">
              <color auto="1"/>
            </bottom>
          </border>
        </dxf>
        <dxf>
          <font>
            <b val="0"/>
            <i val="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
        <x14:slicerStyle name="Purple Slicer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30">
        <dxf>
          <fill>
            <patternFill patternType="solid">
              <fgColor theme="0" tint="-0.14996795556505021"/>
              <bgColor theme="0" tint="-4.9989318521683403E-2"/>
            </patternFill>
          </fill>
        </dxf>
        <dxf>
          <fill>
            <patternFill patternType="solid">
              <fgColor theme="0"/>
              <bgColor rgb="FFC9A5ED"/>
            </patternFill>
          </fill>
          <border>
            <left style="thin">
              <color theme="0"/>
            </left>
            <right style="thin">
              <color theme="0"/>
            </right>
            <top style="thin">
              <color theme="0"/>
            </top>
            <bottom style="thin">
              <color theme="0"/>
            </bottom>
          </border>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Purple Timeline Style 3">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1">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2">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3">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89.839999999999989</c:v>
                </c:pt>
                <c:pt idx="2">
                  <c:v>224.94499999999999</c:v>
                </c:pt>
                <c:pt idx="3">
                  <c:v>64.75</c:v>
                </c:pt>
                <c:pt idx="4">
                  <c:v>53.664999999999992</c:v>
                </c:pt>
                <c:pt idx="6">
                  <c:v>169.95</c:v>
                </c:pt>
                <c:pt idx="7">
                  <c:v>213.67499999999998</c:v>
                </c:pt>
                <c:pt idx="8">
                  <c:v>178.70999999999998</c:v>
                </c:pt>
                <c:pt idx="9">
                  <c:v>187.97499999999999</c:v>
                </c:pt>
                <c:pt idx="10">
                  <c:v>67.5</c:v>
                </c:pt>
                <c:pt idx="11">
                  <c:v>248.23499999999999</c:v>
                </c:pt>
                <c:pt idx="13">
                  <c:v>739.48</c:v>
                </c:pt>
                <c:pt idx="14">
                  <c:v>66.66</c:v>
                </c:pt>
                <c:pt idx="15">
                  <c:v>27</c:v>
                </c:pt>
                <c:pt idx="16">
                  <c:v>39.799999999999997</c:v>
                </c:pt>
                <c:pt idx="17">
                  <c:v>344.03999999999996</c:v>
                </c:pt>
                <c:pt idx="18">
                  <c:v>79.47</c:v>
                </c:pt>
                <c:pt idx="19">
                  <c:v>22.5</c:v>
                </c:pt>
                <c:pt idx="20">
                  <c:v>101.49</c:v>
                </c:pt>
                <c:pt idx="21">
                  <c:v>97.874999999999986</c:v>
                </c:pt>
                <c:pt idx="22">
                  <c:v>165.23499999999999</c:v>
                </c:pt>
                <c:pt idx="23">
                  <c:v>23.88</c:v>
                </c:pt>
                <c:pt idx="24">
                  <c:v>106.47</c:v>
                </c:pt>
                <c:pt idx="25">
                  <c:v>169.99999999999997</c:v>
                </c:pt>
                <c:pt idx="26">
                  <c:v>192.40499999999997</c:v>
                </c:pt>
                <c:pt idx="27">
                  <c:v>62.91</c:v>
                </c:pt>
                <c:pt idx="28">
                  <c:v>143.21999999999997</c:v>
                </c:pt>
                <c:pt idx="29">
                  <c:v>279.70499999999998</c:v>
                </c:pt>
                <c:pt idx="30">
                  <c:v>109.005</c:v>
                </c:pt>
                <c:pt idx="31">
                  <c:v>119.41999999999999</c:v>
                </c:pt>
                <c:pt idx="32">
                  <c:v>667.51499999999999</c:v>
                </c:pt>
                <c:pt idx="33">
                  <c:v>242.99999999999997</c:v>
                </c:pt>
                <c:pt idx="34">
                  <c:v>63.314999999999998</c:v>
                </c:pt>
                <c:pt idx="35">
                  <c:v>201.86999999999998</c:v>
                </c:pt>
                <c:pt idx="36">
                  <c:v>30.06</c:v>
                </c:pt>
                <c:pt idx="37">
                  <c:v>49.209999999999994</c:v>
                </c:pt>
                <c:pt idx="38">
                  <c:v>45</c:v>
                </c:pt>
                <c:pt idx="39">
                  <c:v>7.77</c:v>
                </c:pt>
                <c:pt idx="40">
                  <c:v>100.72499999999999</c:v>
                </c:pt>
                <c:pt idx="41">
                  <c:v>132.03</c:v>
                </c:pt>
                <c:pt idx="42">
                  <c:v>165.755</c:v>
                </c:pt>
                <c:pt idx="43">
                  <c:v>86.609999999999985</c:v>
                </c:pt>
              </c:numCache>
            </c:numRef>
          </c:val>
          <c:smooth val="0"/>
          <c:extLst>
            <c:ext xmlns:c16="http://schemas.microsoft.com/office/drawing/2014/chart" uri="{C3380CC4-5D6E-409C-BE32-E72D297353CC}">
              <c16:uniqueId val="{00000000-2E40-4F33-B040-41FE1619C133}"/>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198.24</c:v>
                </c:pt>
                <c:pt idx="1">
                  <c:v>41.25</c:v>
                </c:pt>
                <c:pt idx="2">
                  <c:v>189.54000000000002</c:v>
                </c:pt>
                <c:pt idx="3">
                  <c:v>181.16999999999996</c:v>
                </c:pt>
                <c:pt idx="4">
                  <c:v>7.29</c:v>
                </c:pt>
                <c:pt idx="5">
                  <c:v>547.7349999999999</c:v>
                </c:pt>
                <c:pt idx="6">
                  <c:v>218.67999999999995</c:v>
                </c:pt>
                <c:pt idx="7">
                  <c:v>41.25</c:v>
                </c:pt>
                <c:pt idx="8">
                  <c:v>35.75</c:v>
                </c:pt>
                <c:pt idx="9">
                  <c:v>114.07499999999999</c:v>
                </c:pt>
                <c:pt idx="11">
                  <c:v>204.92999999999995</c:v>
                </c:pt>
                <c:pt idx="12">
                  <c:v>54.870000000000005</c:v>
                </c:pt>
                <c:pt idx="13">
                  <c:v>334.33500000000004</c:v>
                </c:pt>
                <c:pt idx="14">
                  <c:v>85.454999999999998</c:v>
                </c:pt>
                <c:pt idx="15">
                  <c:v>77.760000000000005</c:v>
                </c:pt>
                <c:pt idx="16">
                  <c:v>245.67499999999995</c:v>
                </c:pt>
                <c:pt idx="17">
                  <c:v>191.715</c:v>
                </c:pt>
                <c:pt idx="18">
                  <c:v>110</c:v>
                </c:pt>
                <c:pt idx="19">
                  <c:v>77.72</c:v>
                </c:pt>
                <c:pt idx="20">
                  <c:v>195.11</c:v>
                </c:pt>
                <c:pt idx="21">
                  <c:v>156.655</c:v>
                </c:pt>
                <c:pt idx="23">
                  <c:v>354.67499999999995</c:v>
                </c:pt>
                <c:pt idx="24">
                  <c:v>12.15</c:v>
                </c:pt>
                <c:pt idx="25">
                  <c:v>48.6</c:v>
                </c:pt>
                <c:pt idx="26">
                  <c:v>307.38499999999999</c:v>
                </c:pt>
                <c:pt idx="27">
                  <c:v>8.91</c:v>
                </c:pt>
                <c:pt idx="28">
                  <c:v>94.710000000000008</c:v>
                </c:pt>
                <c:pt idx="29">
                  <c:v>12.375</c:v>
                </c:pt>
                <c:pt idx="30">
                  <c:v>124.7</c:v>
                </c:pt>
                <c:pt idx="31">
                  <c:v>81.41</c:v>
                </c:pt>
                <c:pt idx="32">
                  <c:v>171.6</c:v>
                </c:pt>
                <c:pt idx="33">
                  <c:v>260.32499999999999</c:v>
                </c:pt>
                <c:pt idx="34">
                  <c:v>459.54999999999995</c:v>
                </c:pt>
                <c:pt idx="35">
                  <c:v>129.97500000000002</c:v>
                </c:pt>
                <c:pt idx="36">
                  <c:v>72.36</c:v>
                </c:pt>
                <c:pt idx="37">
                  <c:v>129.69</c:v>
                </c:pt>
                <c:pt idx="38">
                  <c:v>147.01499999999999</c:v>
                </c:pt>
                <c:pt idx="39">
                  <c:v>69.3</c:v>
                </c:pt>
                <c:pt idx="40">
                  <c:v>70.539999999999992</c:v>
                </c:pt>
                <c:pt idx="41">
                  <c:v>236.51999999999995</c:v>
                </c:pt>
                <c:pt idx="42">
                  <c:v>81.27</c:v>
                </c:pt>
              </c:numCache>
            </c:numRef>
          </c:val>
          <c:smooth val="0"/>
          <c:extLst>
            <c:ext xmlns:c16="http://schemas.microsoft.com/office/drawing/2014/chart" uri="{C3380CC4-5D6E-409C-BE32-E72D297353CC}">
              <c16:uniqueId val="{00000001-2E40-4F33-B040-41FE1619C133}"/>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118.05999999999999</c:v>
                </c:pt>
                <c:pt idx="1">
                  <c:v>119.13999999999999</c:v>
                </c:pt>
                <c:pt idx="2">
                  <c:v>245.34999999999997</c:v>
                </c:pt>
                <c:pt idx="3">
                  <c:v>429.05499999999995</c:v>
                </c:pt>
                <c:pt idx="5">
                  <c:v>124.27499999999999</c:v>
                </c:pt>
                <c:pt idx="6">
                  <c:v>171.18</c:v>
                </c:pt>
                <c:pt idx="7">
                  <c:v>134.23000000000002</c:v>
                </c:pt>
                <c:pt idx="8">
                  <c:v>228.58499999999998</c:v>
                </c:pt>
                <c:pt idx="9">
                  <c:v>54.389999999999993</c:v>
                </c:pt>
                <c:pt idx="10">
                  <c:v>224.39499999999998</c:v>
                </c:pt>
                <c:pt idx="11">
                  <c:v>49.209999999999994</c:v>
                </c:pt>
                <c:pt idx="12">
                  <c:v>42.795000000000002</c:v>
                </c:pt>
                <c:pt idx="13">
                  <c:v>120.43499999999999</c:v>
                </c:pt>
                <c:pt idx="14">
                  <c:v>80.86</c:v>
                </c:pt>
                <c:pt idx="15">
                  <c:v>123.73500000000001</c:v>
                </c:pt>
                <c:pt idx="16">
                  <c:v>59.655000000000001</c:v>
                </c:pt>
                <c:pt idx="17">
                  <c:v>142.91499999999999</c:v>
                </c:pt>
                <c:pt idx="18">
                  <c:v>175.20499999999998</c:v>
                </c:pt>
                <c:pt idx="19">
                  <c:v>28.53</c:v>
                </c:pt>
                <c:pt idx="20">
                  <c:v>64.08</c:v>
                </c:pt>
                <c:pt idx="21">
                  <c:v>135.22500000000002</c:v>
                </c:pt>
                <c:pt idx="22">
                  <c:v>119.13999999999999</c:v>
                </c:pt>
                <c:pt idx="23">
                  <c:v>70.86</c:v>
                </c:pt>
                <c:pt idx="24">
                  <c:v>200.89000000000001</c:v>
                </c:pt>
                <c:pt idx="25">
                  <c:v>244.06</c:v>
                </c:pt>
                <c:pt idx="26">
                  <c:v>278.14499999999998</c:v>
                </c:pt>
                <c:pt idx="27">
                  <c:v>328.95</c:v>
                </c:pt>
                <c:pt idx="28">
                  <c:v>263.315</c:v>
                </c:pt>
                <c:pt idx="29">
                  <c:v>187.77499999999998</c:v>
                </c:pt>
                <c:pt idx="30">
                  <c:v>52.305</c:v>
                </c:pt>
                <c:pt idx="31">
                  <c:v>125.58</c:v>
                </c:pt>
                <c:pt idx="32">
                  <c:v>124.71000000000001</c:v>
                </c:pt>
                <c:pt idx="33">
                  <c:v>285.57000000000005</c:v>
                </c:pt>
                <c:pt idx="34">
                  <c:v>275.08999999999997</c:v>
                </c:pt>
                <c:pt idx="35">
                  <c:v>146.36999999999998</c:v>
                </c:pt>
                <c:pt idx="36">
                  <c:v>463.28000000000003</c:v>
                </c:pt>
                <c:pt idx="37">
                  <c:v>67.400000000000006</c:v>
                </c:pt>
                <c:pt idx="38">
                  <c:v>4.3650000000000002</c:v>
                </c:pt>
                <c:pt idx="39">
                  <c:v>45.81</c:v>
                </c:pt>
                <c:pt idx="40">
                  <c:v>213.10999999999999</c:v>
                </c:pt>
                <c:pt idx="41">
                  <c:v>161.35999999999999</c:v>
                </c:pt>
                <c:pt idx="42">
                  <c:v>271.05500000000001</c:v>
                </c:pt>
                <c:pt idx="43">
                  <c:v>15.54</c:v>
                </c:pt>
              </c:numCache>
            </c:numRef>
          </c:val>
          <c:smooth val="0"/>
          <c:extLst>
            <c:ext xmlns:c16="http://schemas.microsoft.com/office/drawing/2014/chart" uri="{C3380CC4-5D6E-409C-BE32-E72D297353CC}">
              <c16:uniqueId val="{00000002-2E40-4F33-B040-41FE1619C133}"/>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111.06</c:v>
                </c:pt>
                <c:pt idx="1">
                  <c:v>71.699999999999989</c:v>
                </c:pt>
                <c:pt idx="2">
                  <c:v>36.734999999999999</c:v>
                </c:pt>
                <c:pt idx="3">
                  <c:v>21.509999999999998</c:v>
                </c:pt>
                <c:pt idx="5">
                  <c:v>90.734999999999985</c:v>
                </c:pt>
                <c:pt idx="6">
                  <c:v>141.41499999999999</c:v>
                </c:pt>
                <c:pt idx="7">
                  <c:v>123.255</c:v>
                </c:pt>
                <c:pt idx="8">
                  <c:v>35.82</c:v>
                </c:pt>
                <c:pt idx="9">
                  <c:v>213.66499999999999</c:v>
                </c:pt>
                <c:pt idx="10">
                  <c:v>23.279999999999998</c:v>
                </c:pt>
                <c:pt idx="11">
                  <c:v>58.554999999999993</c:v>
                </c:pt>
                <c:pt idx="12">
                  <c:v>157.72499999999999</c:v>
                </c:pt>
                <c:pt idx="13">
                  <c:v>402.67999999999995</c:v>
                </c:pt>
                <c:pt idx="14">
                  <c:v>165.96</c:v>
                </c:pt>
                <c:pt idx="15">
                  <c:v>114.42499999999998</c:v>
                </c:pt>
                <c:pt idx="16">
                  <c:v>44.154999999999994</c:v>
                </c:pt>
                <c:pt idx="18">
                  <c:v>266.90999999999997</c:v>
                </c:pt>
                <c:pt idx="19">
                  <c:v>127.73999999999998</c:v>
                </c:pt>
                <c:pt idx="20">
                  <c:v>296.69</c:v>
                </c:pt>
                <c:pt idx="21">
                  <c:v>43.019999999999996</c:v>
                </c:pt>
                <c:pt idx="22">
                  <c:v>26.849999999999994</c:v>
                </c:pt>
                <c:pt idx="23">
                  <c:v>17.91</c:v>
                </c:pt>
                <c:pt idx="24">
                  <c:v>35.82</c:v>
                </c:pt>
                <c:pt idx="25">
                  <c:v>16.11</c:v>
                </c:pt>
                <c:pt idx="26">
                  <c:v>163.61999999999998</c:v>
                </c:pt>
                <c:pt idx="27">
                  <c:v>23.9</c:v>
                </c:pt>
                <c:pt idx="28">
                  <c:v>184.61999999999998</c:v>
                </c:pt>
                <c:pt idx="29">
                  <c:v>88.334999999999994</c:v>
                </c:pt>
                <c:pt idx="30">
                  <c:v>145.79</c:v>
                </c:pt>
                <c:pt idx="31">
                  <c:v>198.58499999999998</c:v>
                </c:pt>
                <c:pt idx="32">
                  <c:v>185.58999999999997</c:v>
                </c:pt>
                <c:pt idx="33">
                  <c:v>115.27999999999999</c:v>
                </c:pt>
                <c:pt idx="35">
                  <c:v>185.22499999999997</c:v>
                </c:pt>
                <c:pt idx="36">
                  <c:v>68.650000000000006</c:v>
                </c:pt>
                <c:pt idx="37">
                  <c:v>53.759999999999991</c:v>
                </c:pt>
                <c:pt idx="38">
                  <c:v>159.17499999999995</c:v>
                </c:pt>
                <c:pt idx="39">
                  <c:v>81.209999999999994</c:v>
                </c:pt>
                <c:pt idx="40">
                  <c:v>208.86999999999998</c:v>
                </c:pt>
                <c:pt idx="41">
                  <c:v>240.58499999999995</c:v>
                </c:pt>
                <c:pt idx="42">
                  <c:v>76.03</c:v>
                </c:pt>
                <c:pt idx="43">
                  <c:v>25.68</c:v>
                </c:pt>
              </c:numCache>
            </c:numRef>
          </c:val>
          <c:smooth val="0"/>
          <c:extLst>
            <c:ext xmlns:c16="http://schemas.microsoft.com/office/drawing/2014/chart" uri="{C3380CC4-5D6E-409C-BE32-E72D297353CC}">
              <c16:uniqueId val="{00000003-2E40-4F33-B040-41FE1619C133}"/>
            </c:ext>
          </c:extLst>
        </c:ser>
        <c:dLbls>
          <c:showLegendKey val="0"/>
          <c:showVal val="0"/>
          <c:showCatName val="0"/>
          <c:showSerName val="0"/>
          <c:showPercent val="0"/>
          <c:showBubbleSize val="0"/>
        </c:dLbls>
        <c:smooth val="0"/>
        <c:axId val="691202704"/>
        <c:axId val="691203032"/>
      </c:lineChart>
      <c:catAx>
        <c:axId val="6912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03032"/>
        <c:crosses val="autoZero"/>
        <c:auto val="1"/>
        <c:lblAlgn val="ctr"/>
        <c:lblOffset val="100"/>
        <c:noMultiLvlLbl val="0"/>
      </c:catAx>
      <c:valAx>
        <c:axId val="69120303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02704"/>
        <c:crosses val="autoZero"/>
        <c:crossBetween val="between"/>
      </c:valAx>
      <c:spPr>
        <a:solidFill>
          <a:srgbClr val="C9A5ED"/>
        </a:solidFill>
        <a:ln>
          <a:solidFill>
            <a:schemeClr val="bg1">
              <a:lumMod val="9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Customers!Top 5 Customers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Top 5 Customers</a:t>
            </a:r>
          </a:p>
        </c:rich>
      </c:tx>
      <c:layout>
        <c:manualLayout>
          <c:xMode val="edge"/>
          <c:yMode val="edge"/>
          <c:x val="0.35821522309711284"/>
          <c:y val="2.7777777777777776E-2"/>
        </c:manualLayout>
      </c:layout>
      <c:overlay val="0"/>
      <c:spPr>
        <a:noFill/>
        <a:ln>
          <a:solidFill>
            <a:srgbClr val="C9A5ED"/>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1D9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81D9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1D9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5 Customers'!$B$3</c:f>
              <c:strCache>
                <c:ptCount val="1"/>
                <c:pt idx="0">
                  <c:v>Total</c:v>
                </c:pt>
              </c:strCache>
            </c:strRef>
          </c:tx>
          <c:spPr>
            <a:solidFill>
              <a:srgbClr val="581D93"/>
            </a:solidFill>
            <a:ln>
              <a:noFill/>
            </a:ln>
            <a:effectLst/>
            <a:sp3d/>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5F0-4BC9-8C6C-AB96A7B5B896}"/>
            </c:ext>
          </c:extLst>
        </c:ser>
        <c:dLbls>
          <c:showLegendKey val="0"/>
          <c:showVal val="0"/>
          <c:showCatName val="0"/>
          <c:showSerName val="0"/>
          <c:showPercent val="0"/>
          <c:showBubbleSize val="0"/>
        </c:dLbls>
        <c:gapWidth val="150"/>
        <c:shape val="box"/>
        <c:axId val="685041592"/>
        <c:axId val="685044216"/>
        <c:axId val="0"/>
      </c:bar3DChart>
      <c:catAx>
        <c:axId val="685041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685044216"/>
        <c:crosses val="autoZero"/>
        <c:auto val="1"/>
        <c:lblAlgn val="ctr"/>
        <c:lblOffset val="100"/>
        <c:noMultiLvlLbl val="0"/>
      </c:catAx>
      <c:valAx>
        <c:axId val="685044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685041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1D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81D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1D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Country'!$B$3</c:f>
              <c:strCache>
                <c:ptCount val="1"/>
                <c:pt idx="0">
                  <c:v>Total</c:v>
                </c:pt>
              </c:strCache>
            </c:strRef>
          </c:tx>
          <c:spPr>
            <a:solidFill>
              <a:srgbClr val="581D93"/>
            </a:solidFill>
            <a:ln>
              <a:noFill/>
            </a:ln>
            <a:effectLst/>
          </c:spPr>
          <c:invertIfNegative val="0"/>
          <c:cat>
            <c:strRef>
              <c:f>'Sales By Country'!$A$4:$A$7</c:f>
              <c:strCache>
                <c:ptCount val="3"/>
                <c:pt idx="0">
                  <c:v>United Kingdom</c:v>
                </c:pt>
                <c:pt idx="1">
                  <c:v>Ireland</c:v>
                </c:pt>
                <c:pt idx="2">
                  <c:v>United States</c:v>
                </c:pt>
              </c:strCache>
            </c:strRef>
          </c:cat>
          <c:val>
            <c:numRef>
              <c:f>'Sales By Country'!$B$4:$B$7</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8F1-4C74-B41D-5B70095B4FA3}"/>
            </c:ext>
          </c:extLst>
        </c:ser>
        <c:dLbls>
          <c:showLegendKey val="0"/>
          <c:showVal val="0"/>
          <c:showCatName val="0"/>
          <c:showSerName val="0"/>
          <c:showPercent val="0"/>
          <c:showBubbleSize val="0"/>
        </c:dLbls>
        <c:gapWidth val="150"/>
        <c:overlap val="100"/>
        <c:axId val="536323208"/>
        <c:axId val="529582048"/>
      </c:barChart>
      <c:catAx>
        <c:axId val="536323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82048"/>
        <c:crosses val="autoZero"/>
        <c:auto val="1"/>
        <c:lblAlgn val="ctr"/>
        <c:lblOffset val="100"/>
        <c:noMultiLvlLbl val="0"/>
      </c:catAx>
      <c:valAx>
        <c:axId val="529582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23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89.839999999999989</c:v>
                </c:pt>
                <c:pt idx="2">
                  <c:v>224.94499999999999</c:v>
                </c:pt>
                <c:pt idx="3">
                  <c:v>64.75</c:v>
                </c:pt>
                <c:pt idx="4">
                  <c:v>53.664999999999992</c:v>
                </c:pt>
                <c:pt idx="6">
                  <c:v>169.95</c:v>
                </c:pt>
                <c:pt idx="7">
                  <c:v>213.67499999999998</c:v>
                </c:pt>
                <c:pt idx="8">
                  <c:v>178.70999999999998</c:v>
                </c:pt>
                <c:pt idx="9">
                  <c:v>187.97499999999999</c:v>
                </c:pt>
                <c:pt idx="10">
                  <c:v>67.5</c:v>
                </c:pt>
                <c:pt idx="11">
                  <c:v>248.23499999999999</c:v>
                </c:pt>
                <c:pt idx="13">
                  <c:v>739.48</c:v>
                </c:pt>
                <c:pt idx="14">
                  <c:v>66.66</c:v>
                </c:pt>
                <c:pt idx="15">
                  <c:v>27</c:v>
                </c:pt>
                <c:pt idx="16">
                  <c:v>39.799999999999997</c:v>
                </c:pt>
                <c:pt idx="17">
                  <c:v>344.03999999999996</c:v>
                </c:pt>
                <c:pt idx="18">
                  <c:v>79.47</c:v>
                </c:pt>
                <c:pt idx="19">
                  <c:v>22.5</c:v>
                </c:pt>
                <c:pt idx="20">
                  <c:v>101.49</c:v>
                </c:pt>
                <c:pt idx="21">
                  <c:v>97.874999999999986</c:v>
                </c:pt>
                <c:pt idx="22">
                  <c:v>165.23499999999999</c:v>
                </c:pt>
                <c:pt idx="23">
                  <c:v>23.88</c:v>
                </c:pt>
                <c:pt idx="24">
                  <c:v>106.47</c:v>
                </c:pt>
                <c:pt idx="25">
                  <c:v>169.99999999999997</c:v>
                </c:pt>
                <c:pt idx="26">
                  <c:v>192.40499999999997</c:v>
                </c:pt>
                <c:pt idx="27">
                  <c:v>62.91</c:v>
                </c:pt>
                <c:pt idx="28">
                  <c:v>143.21999999999997</c:v>
                </c:pt>
                <c:pt idx="29">
                  <c:v>279.70499999999998</c:v>
                </c:pt>
                <c:pt idx="30">
                  <c:v>109.005</c:v>
                </c:pt>
                <c:pt idx="31">
                  <c:v>119.41999999999999</c:v>
                </c:pt>
                <c:pt idx="32">
                  <c:v>667.51499999999999</c:v>
                </c:pt>
                <c:pt idx="33">
                  <c:v>242.99999999999997</c:v>
                </c:pt>
                <c:pt idx="34">
                  <c:v>63.314999999999998</c:v>
                </c:pt>
                <c:pt idx="35">
                  <c:v>201.86999999999998</c:v>
                </c:pt>
                <c:pt idx="36">
                  <c:v>30.06</c:v>
                </c:pt>
                <c:pt idx="37">
                  <c:v>49.209999999999994</c:v>
                </c:pt>
                <c:pt idx="38">
                  <c:v>45</c:v>
                </c:pt>
                <c:pt idx="39">
                  <c:v>7.77</c:v>
                </c:pt>
                <c:pt idx="40">
                  <c:v>100.72499999999999</c:v>
                </c:pt>
                <c:pt idx="41">
                  <c:v>132.03</c:v>
                </c:pt>
                <c:pt idx="42">
                  <c:v>165.755</c:v>
                </c:pt>
                <c:pt idx="43">
                  <c:v>86.609999999999985</c:v>
                </c:pt>
              </c:numCache>
            </c:numRef>
          </c:val>
          <c:smooth val="0"/>
          <c:extLst>
            <c:ext xmlns:c16="http://schemas.microsoft.com/office/drawing/2014/chart" uri="{C3380CC4-5D6E-409C-BE32-E72D297353CC}">
              <c16:uniqueId val="{00000000-CE5A-480B-AAA5-3D66616CCA31}"/>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198.24</c:v>
                </c:pt>
                <c:pt idx="1">
                  <c:v>41.25</c:v>
                </c:pt>
                <c:pt idx="2">
                  <c:v>189.54000000000002</c:v>
                </c:pt>
                <c:pt idx="3">
                  <c:v>181.16999999999996</c:v>
                </c:pt>
                <c:pt idx="4">
                  <c:v>7.29</c:v>
                </c:pt>
                <c:pt idx="5">
                  <c:v>547.7349999999999</c:v>
                </c:pt>
                <c:pt idx="6">
                  <c:v>218.67999999999995</c:v>
                </c:pt>
                <c:pt idx="7">
                  <c:v>41.25</c:v>
                </c:pt>
                <c:pt idx="8">
                  <c:v>35.75</c:v>
                </c:pt>
                <c:pt idx="9">
                  <c:v>114.07499999999999</c:v>
                </c:pt>
                <c:pt idx="11">
                  <c:v>204.92999999999995</c:v>
                </c:pt>
                <c:pt idx="12">
                  <c:v>54.870000000000005</c:v>
                </c:pt>
                <c:pt idx="13">
                  <c:v>334.33500000000004</c:v>
                </c:pt>
                <c:pt idx="14">
                  <c:v>85.454999999999998</c:v>
                </c:pt>
                <c:pt idx="15">
                  <c:v>77.760000000000005</c:v>
                </c:pt>
                <c:pt idx="16">
                  <c:v>245.67499999999995</c:v>
                </c:pt>
                <c:pt idx="17">
                  <c:v>191.715</c:v>
                </c:pt>
                <c:pt idx="18">
                  <c:v>110</c:v>
                </c:pt>
                <c:pt idx="19">
                  <c:v>77.72</c:v>
                </c:pt>
                <c:pt idx="20">
                  <c:v>195.11</c:v>
                </c:pt>
                <c:pt idx="21">
                  <c:v>156.655</c:v>
                </c:pt>
                <c:pt idx="23">
                  <c:v>354.67499999999995</c:v>
                </c:pt>
                <c:pt idx="24">
                  <c:v>12.15</c:v>
                </c:pt>
                <c:pt idx="25">
                  <c:v>48.6</c:v>
                </c:pt>
                <c:pt idx="26">
                  <c:v>307.38499999999999</c:v>
                </c:pt>
                <c:pt idx="27">
                  <c:v>8.91</c:v>
                </c:pt>
                <c:pt idx="28">
                  <c:v>94.710000000000008</c:v>
                </c:pt>
                <c:pt idx="29">
                  <c:v>12.375</c:v>
                </c:pt>
                <c:pt idx="30">
                  <c:v>124.7</c:v>
                </c:pt>
                <c:pt idx="31">
                  <c:v>81.41</c:v>
                </c:pt>
                <c:pt idx="32">
                  <c:v>171.6</c:v>
                </c:pt>
                <c:pt idx="33">
                  <c:v>260.32499999999999</c:v>
                </c:pt>
                <c:pt idx="34">
                  <c:v>459.54999999999995</c:v>
                </c:pt>
                <c:pt idx="35">
                  <c:v>129.97500000000002</c:v>
                </c:pt>
                <c:pt idx="36">
                  <c:v>72.36</c:v>
                </c:pt>
                <c:pt idx="37">
                  <c:v>129.69</c:v>
                </c:pt>
                <c:pt idx="38">
                  <c:v>147.01499999999999</c:v>
                </c:pt>
                <c:pt idx="39">
                  <c:v>69.3</c:v>
                </c:pt>
                <c:pt idx="40">
                  <c:v>70.539999999999992</c:v>
                </c:pt>
                <c:pt idx="41">
                  <c:v>236.51999999999995</c:v>
                </c:pt>
                <c:pt idx="42">
                  <c:v>81.27</c:v>
                </c:pt>
              </c:numCache>
            </c:numRef>
          </c:val>
          <c:smooth val="0"/>
          <c:extLst>
            <c:ext xmlns:c16="http://schemas.microsoft.com/office/drawing/2014/chart" uri="{C3380CC4-5D6E-409C-BE32-E72D297353CC}">
              <c16:uniqueId val="{00000001-CE5A-480B-AAA5-3D66616CCA31}"/>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118.05999999999999</c:v>
                </c:pt>
                <c:pt idx="1">
                  <c:v>119.13999999999999</c:v>
                </c:pt>
                <c:pt idx="2">
                  <c:v>245.34999999999997</c:v>
                </c:pt>
                <c:pt idx="3">
                  <c:v>429.05499999999995</c:v>
                </c:pt>
                <c:pt idx="5">
                  <c:v>124.27499999999999</c:v>
                </c:pt>
                <c:pt idx="6">
                  <c:v>171.18</c:v>
                </c:pt>
                <c:pt idx="7">
                  <c:v>134.23000000000002</c:v>
                </c:pt>
                <c:pt idx="8">
                  <c:v>228.58499999999998</c:v>
                </c:pt>
                <c:pt idx="9">
                  <c:v>54.389999999999993</c:v>
                </c:pt>
                <c:pt idx="10">
                  <c:v>224.39499999999998</c:v>
                </c:pt>
                <c:pt idx="11">
                  <c:v>49.209999999999994</c:v>
                </c:pt>
                <c:pt idx="12">
                  <c:v>42.795000000000002</c:v>
                </c:pt>
                <c:pt idx="13">
                  <c:v>120.43499999999999</c:v>
                </c:pt>
                <c:pt idx="14">
                  <c:v>80.86</c:v>
                </c:pt>
                <c:pt idx="15">
                  <c:v>123.73500000000001</c:v>
                </c:pt>
                <c:pt idx="16">
                  <c:v>59.655000000000001</c:v>
                </c:pt>
                <c:pt idx="17">
                  <c:v>142.91499999999999</c:v>
                </c:pt>
                <c:pt idx="18">
                  <c:v>175.20499999999998</c:v>
                </c:pt>
                <c:pt idx="19">
                  <c:v>28.53</c:v>
                </c:pt>
                <c:pt idx="20">
                  <c:v>64.08</c:v>
                </c:pt>
                <c:pt idx="21">
                  <c:v>135.22500000000002</c:v>
                </c:pt>
                <c:pt idx="22">
                  <c:v>119.13999999999999</c:v>
                </c:pt>
                <c:pt idx="23">
                  <c:v>70.86</c:v>
                </c:pt>
                <c:pt idx="24">
                  <c:v>200.89000000000001</c:v>
                </c:pt>
                <c:pt idx="25">
                  <c:v>244.06</c:v>
                </c:pt>
                <c:pt idx="26">
                  <c:v>278.14499999999998</c:v>
                </c:pt>
                <c:pt idx="27">
                  <c:v>328.95</c:v>
                </c:pt>
                <c:pt idx="28">
                  <c:v>263.315</c:v>
                </c:pt>
                <c:pt idx="29">
                  <c:v>187.77499999999998</c:v>
                </c:pt>
                <c:pt idx="30">
                  <c:v>52.305</c:v>
                </c:pt>
                <c:pt idx="31">
                  <c:v>125.58</c:v>
                </c:pt>
                <c:pt idx="32">
                  <c:v>124.71000000000001</c:v>
                </c:pt>
                <c:pt idx="33">
                  <c:v>285.57000000000005</c:v>
                </c:pt>
                <c:pt idx="34">
                  <c:v>275.08999999999997</c:v>
                </c:pt>
                <c:pt idx="35">
                  <c:v>146.36999999999998</c:v>
                </c:pt>
                <c:pt idx="36">
                  <c:v>463.28000000000003</c:v>
                </c:pt>
                <c:pt idx="37">
                  <c:v>67.400000000000006</c:v>
                </c:pt>
                <c:pt idx="38">
                  <c:v>4.3650000000000002</c:v>
                </c:pt>
                <c:pt idx="39">
                  <c:v>45.81</c:v>
                </c:pt>
                <c:pt idx="40">
                  <c:v>213.10999999999999</c:v>
                </c:pt>
                <c:pt idx="41">
                  <c:v>161.35999999999999</c:v>
                </c:pt>
                <c:pt idx="42">
                  <c:v>271.05500000000001</c:v>
                </c:pt>
                <c:pt idx="43">
                  <c:v>15.54</c:v>
                </c:pt>
              </c:numCache>
            </c:numRef>
          </c:val>
          <c:smooth val="0"/>
          <c:extLst>
            <c:ext xmlns:c16="http://schemas.microsoft.com/office/drawing/2014/chart" uri="{C3380CC4-5D6E-409C-BE32-E72D297353CC}">
              <c16:uniqueId val="{00000002-CE5A-480B-AAA5-3D66616CCA31}"/>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111.06</c:v>
                </c:pt>
                <c:pt idx="1">
                  <c:v>71.699999999999989</c:v>
                </c:pt>
                <c:pt idx="2">
                  <c:v>36.734999999999999</c:v>
                </c:pt>
                <c:pt idx="3">
                  <c:v>21.509999999999998</c:v>
                </c:pt>
                <c:pt idx="5">
                  <c:v>90.734999999999985</c:v>
                </c:pt>
                <c:pt idx="6">
                  <c:v>141.41499999999999</c:v>
                </c:pt>
                <c:pt idx="7">
                  <c:v>123.255</c:v>
                </c:pt>
                <c:pt idx="8">
                  <c:v>35.82</c:v>
                </c:pt>
                <c:pt idx="9">
                  <c:v>213.66499999999999</c:v>
                </c:pt>
                <c:pt idx="10">
                  <c:v>23.279999999999998</c:v>
                </c:pt>
                <c:pt idx="11">
                  <c:v>58.554999999999993</c:v>
                </c:pt>
                <c:pt idx="12">
                  <c:v>157.72499999999999</c:v>
                </c:pt>
                <c:pt idx="13">
                  <c:v>402.67999999999995</c:v>
                </c:pt>
                <c:pt idx="14">
                  <c:v>165.96</c:v>
                </c:pt>
                <c:pt idx="15">
                  <c:v>114.42499999999998</c:v>
                </c:pt>
                <c:pt idx="16">
                  <c:v>44.154999999999994</c:v>
                </c:pt>
                <c:pt idx="18">
                  <c:v>266.90999999999997</c:v>
                </c:pt>
                <c:pt idx="19">
                  <c:v>127.73999999999998</c:v>
                </c:pt>
                <c:pt idx="20">
                  <c:v>296.69</c:v>
                </c:pt>
                <c:pt idx="21">
                  <c:v>43.019999999999996</c:v>
                </c:pt>
                <c:pt idx="22">
                  <c:v>26.849999999999994</c:v>
                </c:pt>
                <c:pt idx="23">
                  <c:v>17.91</c:v>
                </c:pt>
                <c:pt idx="24">
                  <c:v>35.82</c:v>
                </c:pt>
                <c:pt idx="25">
                  <c:v>16.11</c:v>
                </c:pt>
                <c:pt idx="26">
                  <c:v>163.61999999999998</c:v>
                </c:pt>
                <c:pt idx="27">
                  <c:v>23.9</c:v>
                </c:pt>
                <c:pt idx="28">
                  <c:v>184.61999999999998</c:v>
                </c:pt>
                <c:pt idx="29">
                  <c:v>88.334999999999994</c:v>
                </c:pt>
                <c:pt idx="30">
                  <c:v>145.79</c:v>
                </c:pt>
                <c:pt idx="31">
                  <c:v>198.58499999999998</c:v>
                </c:pt>
                <c:pt idx="32">
                  <c:v>185.58999999999997</c:v>
                </c:pt>
                <c:pt idx="33">
                  <c:v>115.27999999999999</c:v>
                </c:pt>
                <c:pt idx="35">
                  <c:v>185.22499999999997</c:v>
                </c:pt>
                <c:pt idx="36">
                  <c:v>68.650000000000006</c:v>
                </c:pt>
                <c:pt idx="37">
                  <c:v>53.759999999999991</c:v>
                </c:pt>
                <c:pt idx="38">
                  <c:v>159.17499999999995</c:v>
                </c:pt>
                <c:pt idx="39">
                  <c:v>81.209999999999994</c:v>
                </c:pt>
                <c:pt idx="40">
                  <c:v>208.86999999999998</c:v>
                </c:pt>
                <c:pt idx="41">
                  <c:v>240.58499999999995</c:v>
                </c:pt>
                <c:pt idx="42">
                  <c:v>76.03</c:v>
                </c:pt>
                <c:pt idx="43">
                  <c:v>25.68</c:v>
                </c:pt>
              </c:numCache>
            </c:numRef>
          </c:val>
          <c:smooth val="0"/>
          <c:extLst>
            <c:ext xmlns:c16="http://schemas.microsoft.com/office/drawing/2014/chart" uri="{C3380CC4-5D6E-409C-BE32-E72D297353CC}">
              <c16:uniqueId val="{00000003-CE5A-480B-AAA5-3D66616CCA31}"/>
            </c:ext>
          </c:extLst>
        </c:ser>
        <c:dLbls>
          <c:showLegendKey val="0"/>
          <c:showVal val="0"/>
          <c:showCatName val="0"/>
          <c:showSerName val="0"/>
          <c:showPercent val="0"/>
          <c:showBubbleSize val="0"/>
        </c:dLbls>
        <c:smooth val="0"/>
        <c:axId val="691202704"/>
        <c:axId val="691203032"/>
      </c:lineChart>
      <c:catAx>
        <c:axId val="6912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03032"/>
        <c:crosses val="autoZero"/>
        <c:auto val="1"/>
        <c:lblAlgn val="ctr"/>
        <c:lblOffset val="100"/>
        <c:noMultiLvlLbl val="0"/>
      </c:catAx>
      <c:valAx>
        <c:axId val="69120303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02704"/>
        <c:crosses val="autoZero"/>
        <c:crossBetween val="between"/>
      </c:valAx>
      <c:spPr>
        <a:solidFill>
          <a:srgbClr val="C9A5ED"/>
        </a:solidFill>
        <a:ln>
          <a:solidFill>
            <a:schemeClr val="bg1">
              <a:lumMod val="9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1D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Country'!$B$3</c:f>
              <c:strCache>
                <c:ptCount val="1"/>
                <c:pt idx="0">
                  <c:v>Total</c:v>
                </c:pt>
              </c:strCache>
            </c:strRef>
          </c:tx>
          <c:spPr>
            <a:solidFill>
              <a:srgbClr val="581D93"/>
            </a:solidFill>
            <a:ln>
              <a:noFill/>
            </a:ln>
            <a:effectLst/>
          </c:spPr>
          <c:invertIfNegative val="0"/>
          <c:cat>
            <c:strRef>
              <c:f>'Sales By Country'!$A$4:$A$7</c:f>
              <c:strCache>
                <c:ptCount val="3"/>
                <c:pt idx="0">
                  <c:v>United Kingdom</c:v>
                </c:pt>
                <c:pt idx="1">
                  <c:v>Ireland</c:v>
                </c:pt>
                <c:pt idx="2">
                  <c:v>United States</c:v>
                </c:pt>
              </c:strCache>
            </c:strRef>
          </c:cat>
          <c:val>
            <c:numRef>
              <c:f>'Sales By Country'!$B$4:$B$7</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C86-4F9A-A184-219A6AB2BDA0}"/>
            </c:ext>
          </c:extLst>
        </c:ser>
        <c:dLbls>
          <c:showLegendKey val="0"/>
          <c:showVal val="0"/>
          <c:showCatName val="0"/>
          <c:showSerName val="0"/>
          <c:showPercent val="0"/>
          <c:showBubbleSize val="0"/>
        </c:dLbls>
        <c:gapWidth val="150"/>
        <c:overlap val="100"/>
        <c:axId val="536323208"/>
        <c:axId val="529582048"/>
      </c:barChart>
      <c:catAx>
        <c:axId val="536323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82048"/>
        <c:crosses val="autoZero"/>
        <c:auto val="1"/>
        <c:lblAlgn val="ctr"/>
        <c:lblOffset val="100"/>
        <c:noMultiLvlLbl val="0"/>
      </c:catAx>
      <c:valAx>
        <c:axId val="529582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23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Customers!Top 5 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Top 5 Customers</a:t>
            </a:r>
          </a:p>
        </c:rich>
      </c:tx>
      <c:layout>
        <c:manualLayout>
          <c:xMode val="edge"/>
          <c:yMode val="edge"/>
          <c:x val="0.35821522309711284"/>
          <c:y val="2.7777777777777776E-2"/>
        </c:manualLayout>
      </c:layout>
      <c:overlay val="0"/>
      <c:spPr>
        <a:noFill/>
        <a:ln>
          <a:solidFill>
            <a:srgbClr val="C9A5ED"/>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1D9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5 Customers'!$B$3</c:f>
              <c:strCache>
                <c:ptCount val="1"/>
                <c:pt idx="0">
                  <c:v>Total</c:v>
                </c:pt>
              </c:strCache>
            </c:strRef>
          </c:tx>
          <c:spPr>
            <a:solidFill>
              <a:srgbClr val="581D93"/>
            </a:solidFill>
            <a:ln>
              <a:noFill/>
            </a:ln>
            <a:effectLst/>
            <a:sp3d/>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B386-48EE-8D35-1E19929975C9}"/>
            </c:ext>
          </c:extLst>
        </c:ser>
        <c:dLbls>
          <c:showLegendKey val="0"/>
          <c:showVal val="0"/>
          <c:showCatName val="0"/>
          <c:showSerName val="0"/>
          <c:showPercent val="0"/>
          <c:showBubbleSize val="0"/>
        </c:dLbls>
        <c:gapWidth val="150"/>
        <c:shape val="box"/>
        <c:axId val="685041592"/>
        <c:axId val="685044216"/>
        <c:axId val="0"/>
      </c:bar3DChart>
      <c:catAx>
        <c:axId val="685041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685044216"/>
        <c:crosses val="autoZero"/>
        <c:auto val="1"/>
        <c:lblAlgn val="ctr"/>
        <c:lblOffset val="100"/>
        <c:noMultiLvlLbl val="0"/>
      </c:catAx>
      <c:valAx>
        <c:axId val="685044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685041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9293</xdr:colOff>
      <xdr:row>9</xdr:row>
      <xdr:rowOff>157417</xdr:rowOff>
    </xdr:from>
    <xdr:to>
      <xdr:col>17</xdr:col>
      <xdr:colOff>409808</xdr:colOff>
      <xdr:row>32</xdr:row>
      <xdr:rowOff>17283</xdr:rowOff>
    </xdr:to>
    <xdr:graphicFrame macro="">
      <xdr:nvGraphicFramePr>
        <xdr:cNvPr id="2" name="Chart 1">
          <a:extLst>
            <a:ext uri="{FF2B5EF4-FFF2-40B4-BE49-F238E27FC236}">
              <a16:creationId xmlns:a16="http://schemas.microsoft.com/office/drawing/2014/main" id="{23417329-095B-4F0B-A5E3-CBA94425B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5388</xdr:colOff>
      <xdr:row>1</xdr:row>
      <xdr:rowOff>106680</xdr:rowOff>
    </xdr:from>
    <xdr:to>
      <xdr:col>18</xdr:col>
      <xdr:colOff>223024</xdr:colOff>
      <xdr:row>8</xdr:row>
      <xdr:rowOff>177305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3B1D259E-AC44-4871-B004-CC3554FA1ED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20388" y="292534"/>
              <a:ext cx="846953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13195</xdr:colOff>
      <xdr:row>12</xdr:row>
      <xdr:rowOff>176934</xdr:rowOff>
    </xdr:from>
    <xdr:to>
      <xdr:col>22</xdr:col>
      <xdr:colOff>594732</xdr:colOff>
      <xdr:row>18</xdr:row>
      <xdr:rowOff>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D37FCBD3-AD87-49FA-88C9-F625393CBBB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593415" y="2407178"/>
              <a:ext cx="2421488" cy="938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46464</xdr:colOff>
      <xdr:row>21</xdr:row>
      <xdr:rowOff>160226</xdr:rowOff>
    </xdr:from>
    <xdr:to>
      <xdr:col>25</xdr:col>
      <xdr:colOff>501805</xdr:colOff>
      <xdr:row>26</xdr:row>
      <xdr:rowOff>18586</xdr:rowOff>
    </xdr:to>
    <mc:AlternateContent xmlns:mc="http://schemas.openxmlformats.org/markup-compatibility/2006">
      <mc:Choice xmlns:a14="http://schemas.microsoft.com/office/drawing/2010/main" Requires="a14">
        <xdr:graphicFrame macro="">
          <xdr:nvGraphicFramePr>
            <xdr:cNvPr id="7" name="Roast Type2">
              <a:extLst>
                <a:ext uri="{FF2B5EF4-FFF2-40B4-BE49-F238E27FC236}">
                  <a16:creationId xmlns:a16="http://schemas.microsoft.com/office/drawing/2014/main" id="{885B115D-047E-4F17-A3D9-E6D785363F45}"/>
                </a:ext>
              </a:extLst>
            </xdr:cNvPr>
            <xdr:cNvGraphicFramePr/>
          </xdr:nvGraphicFramePr>
          <xdr:xfrm>
            <a:off x="0" y="0"/>
            <a:ext cx="0" cy="0"/>
          </xdr:xfrm>
          <a:graphic>
            <a:graphicData uri="http://schemas.microsoft.com/office/drawing/2010/slicer">
              <sle:slicer xmlns:sle="http://schemas.microsoft.com/office/drawing/2010/slicer" name="Roast Type2"/>
            </a:graphicData>
          </a:graphic>
        </xdr:graphicFrame>
      </mc:Choice>
      <mc:Fallback>
        <xdr:sp macro="" textlink="">
          <xdr:nvSpPr>
            <xdr:cNvPr id="0" name=""/>
            <xdr:cNvSpPr>
              <a:spLocks noTextEdit="1"/>
            </xdr:cNvSpPr>
          </xdr:nvSpPr>
          <xdr:spPr>
            <a:xfrm>
              <a:off x="14626684" y="4063153"/>
              <a:ext cx="4135243" cy="787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90698</xdr:colOff>
      <xdr:row>4</xdr:row>
      <xdr:rowOff>130099</xdr:rowOff>
    </xdr:from>
    <xdr:to>
      <xdr:col>23</xdr:col>
      <xdr:colOff>60590</xdr:colOff>
      <xdr:row>9</xdr:row>
      <xdr:rowOff>142663</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04E79141-C809-41ED-BCD5-E99FD9C1D39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670918" y="873514"/>
              <a:ext cx="2423160" cy="941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0</xdr:row>
      <xdr:rowOff>0</xdr:rowOff>
    </xdr:from>
    <xdr:to>
      <xdr:col>24</xdr:col>
      <xdr:colOff>0</xdr:colOff>
      <xdr:row>4</xdr:row>
      <xdr:rowOff>171450</xdr:rowOff>
    </xdr:to>
    <xdr:sp macro="" textlink="">
      <xdr:nvSpPr>
        <xdr:cNvPr id="2" name="Rectangle 1">
          <a:extLst>
            <a:ext uri="{FF2B5EF4-FFF2-40B4-BE49-F238E27FC236}">
              <a16:creationId xmlns:a16="http://schemas.microsoft.com/office/drawing/2014/main" id="{F0506D25-1C04-4353-A1DA-86BE27E9A9A9}"/>
            </a:ext>
          </a:extLst>
        </xdr:cNvPr>
        <xdr:cNvSpPr/>
      </xdr:nvSpPr>
      <xdr:spPr>
        <a:xfrm>
          <a:off x="133350" y="0"/>
          <a:ext cx="14011275" cy="771525"/>
        </a:xfrm>
        <a:prstGeom prst="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solidFill>
                <a:schemeClr val="bg1"/>
              </a:solidFill>
              <a:latin typeface="Arial Black" panose="020B0A04020102020204" pitchFamily="34" charset="0"/>
            </a:rPr>
            <a:t>COFFEE</a:t>
          </a:r>
          <a:r>
            <a:rPr lang="en-US" sz="3600" baseline="0">
              <a:solidFill>
                <a:schemeClr val="bg1"/>
              </a:solidFill>
              <a:latin typeface="Arial Black" panose="020B0A04020102020204" pitchFamily="34" charset="0"/>
            </a:rPr>
            <a:t> SALES DASHBOARD</a:t>
          </a:r>
          <a:endParaRPr lang="en-US" sz="3600">
            <a:solidFill>
              <a:schemeClr val="bg1"/>
            </a:solidFill>
            <a:latin typeface="Arial Black" panose="020B0A04020102020204" pitchFamily="34" charset="0"/>
          </a:endParaRPr>
        </a:p>
      </xdr:txBody>
    </xdr:sp>
    <xdr:clientData/>
  </xdr:twoCellAnchor>
  <xdr:twoCellAnchor editAs="oneCell">
    <xdr:from>
      <xdr:col>0</xdr:col>
      <xdr:colOff>123824</xdr:colOff>
      <xdr:row>5</xdr:row>
      <xdr:rowOff>9524</xdr:rowOff>
    </xdr:from>
    <xdr:to>
      <xdr:col>15</xdr:col>
      <xdr:colOff>600075</xdr:colOff>
      <xdr:row>15</xdr:row>
      <xdr:rowOff>152400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B08F187B-F3AC-454C-B579-8B9C0D65B8DD}"/>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3824" y="790574"/>
              <a:ext cx="9134476" cy="19526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19049</xdr:colOff>
      <xdr:row>9</xdr:row>
      <xdr:rowOff>95249</xdr:rowOff>
    </xdr:from>
    <xdr:to>
      <xdr:col>24</xdr:col>
      <xdr:colOff>9524</xdr:colOff>
      <xdr:row>16</xdr:row>
      <xdr:rowOff>9525</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56D0802C-0989-4FF4-820E-71151A71C73D}"/>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725274" y="1600199"/>
              <a:ext cx="2428875" cy="1181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9</xdr:row>
      <xdr:rowOff>76200</xdr:rowOff>
    </xdr:from>
    <xdr:to>
      <xdr:col>20</xdr:col>
      <xdr:colOff>9525</xdr:colOff>
      <xdr:row>15</xdr:row>
      <xdr:rowOff>171450</xdr:rowOff>
    </xdr:to>
    <mc:AlternateContent xmlns:mc="http://schemas.openxmlformats.org/markup-compatibility/2006">
      <mc:Choice xmlns:a14="http://schemas.microsoft.com/office/drawing/2010/main" Requires="a14">
        <xdr:graphicFrame macro="">
          <xdr:nvGraphicFramePr>
            <xdr:cNvPr id="8" name="Loyalty Card 1">
              <a:extLst>
                <a:ext uri="{FF2B5EF4-FFF2-40B4-BE49-F238E27FC236}">
                  <a16:creationId xmlns:a16="http://schemas.microsoft.com/office/drawing/2014/main" id="{B82DF4FA-D01C-4246-BE72-90C188C04E45}"/>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9277350" y="1581150"/>
              <a:ext cx="24384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5</xdr:row>
      <xdr:rowOff>19050</xdr:rowOff>
    </xdr:from>
    <xdr:to>
      <xdr:col>24</xdr:col>
      <xdr:colOff>0</xdr:colOff>
      <xdr:row>9</xdr:row>
      <xdr:rowOff>82778</xdr:rowOff>
    </xdr:to>
    <mc:AlternateContent xmlns:mc="http://schemas.openxmlformats.org/markup-compatibility/2006">
      <mc:Choice xmlns:a14="http://schemas.microsoft.com/office/drawing/2010/main" Requires="a14">
        <xdr:graphicFrame macro="">
          <xdr:nvGraphicFramePr>
            <xdr:cNvPr id="9" name="Roast Type2 1">
              <a:extLst>
                <a:ext uri="{FF2B5EF4-FFF2-40B4-BE49-F238E27FC236}">
                  <a16:creationId xmlns:a16="http://schemas.microsoft.com/office/drawing/2014/main" id="{379C984B-5851-4347-B98F-2782DEC35E86}"/>
                </a:ext>
              </a:extLst>
            </xdr:cNvPr>
            <xdr:cNvGraphicFramePr/>
          </xdr:nvGraphicFramePr>
          <xdr:xfrm>
            <a:off x="0" y="0"/>
            <a:ext cx="0" cy="0"/>
          </xdr:xfrm>
          <a:graphic>
            <a:graphicData uri="http://schemas.microsoft.com/office/drawing/2010/slicer">
              <sle:slicer xmlns:sle="http://schemas.microsoft.com/office/drawing/2010/slicer" name="Roast Type2 1"/>
            </a:graphicData>
          </a:graphic>
        </xdr:graphicFrame>
      </mc:Choice>
      <mc:Fallback>
        <xdr:sp macro="" textlink="">
          <xdr:nvSpPr>
            <xdr:cNvPr id="0" name=""/>
            <xdr:cNvSpPr>
              <a:spLocks noTextEdit="1"/>
            </xdr:cNvSpPr>
          </xdr:nvSpPr>
          <xdr:spPr>
            <a:xfrm>
              <a:off x="9277350" y="800100"/>
              <a:ext cx="4867275" cy="787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590549</xdr:colOff>
      <xdr:row>15</xdr:row>
      <xdr:rowOff>171450</xdr:rowOff>
    </xdr:from>
    <xdr:to>
      <xdr:col>24</xdr:col>
      <xdr:colOff>9524</xdr:colOff>
      <xdr:row>29</xdr:row>
      <xdr:rowOff>9525</xdr:rowOff>
    </xdr:to>
    <xdr:graphicFrame macro="">
      <xdr:nvGraphicFramePr>
        <xdr:cNvPr id="10" name="Chart 9">
          <a:extLst>
            <a:ext uri="{FF2B5EF4-FFF2-40B4-BE49-F238E27FC236}">
              <a16:creationId xmlns:a16="http://schemas.microsoft.com/office/drawing/2014/main" id="{79EE0B43-37E1-4709-BA45-255C02895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571499</xdr:colOff>
      <xdr:row>29</xdr:row>
      <xdr:rowOff>9525</xdr:rowOff>
    </xdr:from>
    <xdr:to>
      <xdr:col>24</xdr:col>
      <xdr:colOff>9525</xdr:colOff>
      <xdr:row>42</xdr:row>
      <xdr:rowOff>152400</xdr:rowOff>
    </xdr:to>
    <xdr:graphicFrame macro="">
      <xdr:nvGraphicFramePr>
        <xdr:cNvPr id="12" name="Chart 11">
          <a:extLst>
            <a:ext uri="{FF2B5EF4-FFF2-40B4-BE49-F238E27FC236}">
              <a16:creationId xmlns:a16="http://schemas.microsoft.com/office/drawing/2014/main" id="{A17B0B12-715A-4AD1-94B8-1727C7274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9524</xdr:colOff>
      <xdr:row>15</xdr:row>
      <xdr:rowOff>180974</xdr:rowOff>
    </xdr:from>
    <xdr:to>
      <xdr:col>15</xdr:col>
      <xdr:colOff>590549</xdr:colOff>
      <xdr:row>43</xdr:row>
      <xdr:rowOff>0</xdr:rowOff>
    </xdr:to>
    <xdr:graphicFrame macro="">
      <xdr:nvGraphicFramePr>
        <xdr:cNvPr id="13" name="Chart 12">
          <a:extLst>
            <a:ext uri="{FF2B5EF4-FFF2-40B4-BE49-F238E27FC236}">
              <a16:creationId xmlns:a16="http://schemas.microsoft.com/office/drawing/2014/main" id="{7450AB89-773C-49F4-8532-C13BF462B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144780</xdr:colOff>
      <xdr:row>6</xdr:row>
      <xdr:rowOff>87630</xdr:rowOff>
    </xdr:from>
    <xdr:to>
      <xdr:col>13</xdr:col>
      <xdr:colOff>449580</xdr:colOff>
      <xdr:row>21</xdr:row>
      <xdr:rowOff>87630</xdr:rowOff>
    </xdr:to>
    <xdr:graphicFrame macro="">
      <xdr:nvGraphicFramePr>
        <xdr:cNvPr id="2" name="Chart 1">
          <a:extLst>
            <a:ext uri="{FF2B5EF4-FFF2-40B4-BE49-F238E27FC236}">
              <a16:creationId xmlns:a16="http://schemas.microsoft.com/office/drawing/2014/main" id="{32BD536D-2D0C-4B6D-BE06-EA10A6EF0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6</xdr:row>
      <xdr:rowOff>140970</xdr:rowOff>
    </xdr:from>
    <xdr:to>
      <xdr:col>11</xdr:col>
      <xdr:colOff>190500</xdr:colOff>
      <xdr:row>21</xdr:row>
      <xdr:rowOff>140970</xdr:rowOff>
    </xdr:to>
    <xdr:graphicFrame macro="">
      <xdr:nvGraphicFramePr>
        <xdr:cNvPr id="2" name="Chart 1">
          <a:extLst>
            <a:ext uri="{FF2B5EF4-FFF2-40B4-BE49-F238E27FC236}">
              <a16:creationId xmlns:a16="http://schemas.microsoft.com/office/drawing/2014/main" id="{78915692-7E88-4F5B-A4A4-0483F1175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Marts" refreshedDate="45589.582583912037" createdVersion="7" refreshedVersion="7" minRefreshableVersion="3" recordCount="1000" xr:uid="{BCB15E11-499A-4896-BE40-AB808F64A5A6}">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44">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 numFmtId="0">
      <sharedItems count="4">
        <s v="Robusta"/>
        <s v="Excelsa"/>
        <s v="Arabica"/>
        <s v="Liberica"/>
      </sharedItems>
    </cacheField>
    <cacheField name="Roast Type2"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4347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x v="0"/>
    <x v="0"/>
    <x v="0"/>
    <x v="0"/>
  </r>
  <r>
    <s v="QEV-37451-860"/>
    <x v="0"/>
    <x v="0"/>
    <s v="E-M-0.5"/>
    <n v="5"/>
    <x v="0"/>
    <s v="aallner0@lulu.com"/>
    <x v="0"/>
    <s v="Exc"/>
    <s v="M"/>
    <x v="1"/>
    <n v="8.25"/>
    <x v="1"/>
    <x v="1"/>
    <x v="0"/>
    <x v="0"/>
  </r>
  <r>
    <s v="FAA-43335-268"/>
    <x v="1"/>
    <x v="1"/>
    <s v="A-L-1"/>
    <n v="1"/>
    <x v="1"/>
    <s v="jredholes2@tmall.com"/>
    <x v="0"/>
    <s v="Ara"/>
    <s v="L"/>
    <x v="0"/>
    <n v="12.95"/>
    <x v="2"/>
    <x v="2"/>
    <x v="1"/>
    <x v="0"/>
  </r>
  <r>
    <s v="KAC-83089-793"/>
    <x v="2"/>
    <x v="2"/>
    <s v="E-M-1"/>
    <n v="2"/>
    <x v="2"/>
    <n v="0"/>
    <x v="1"/>
    <s v="Exc"/>
    <s v="M"/>
    <x v="0"/>
    <n v="13.75"/>
    <x v="3"/>
    <x v="1"/>
    <x v="0"/>
    <x v="1"/>
  </r>
  <r>
    <s v="KAC-83089-793"/>
    <x v="2"/>
    <x v="2"/>
    <s v="R-L-2.5"/>
    <n v="2"/>
    <x v="2"/>
    <n v="0"/>
    <x v="1"/>
    <s v="Rob"/>
    <s v="L"/>
    <x v="2"/>
    <n v="27.484999999999996"/>
    <x v="4"/>
    <x v="0"/>
    <x v="1"/>
    <x v="1"/>
  </r>
  <r>
    <s v="CVP-18956-553"/>
    <x v="3"/>
    <x v="3"/>
    <s v="L-D-1"/>
    <n v="3"/>
    <x v="3"/>
    <n v="0"/>
    <x v="0"/>
    <s v="Lib"/>
    <s v="D"/>
    <x v="0"/>
    <n v="12.95"/>
    <x v="5"/>
    <x v="3"/>
    <x v="2"/>
    <x v="1"/>
  </r>
  <r>
    <s v="IPP-31994-879"/>
    <x v="4"/>
    <x v="4"/>
    <s v="E-D-0.5"/>
    <n v="3"/>
    <x v="4"/>
    <s v="slobe6@nifty.com"/>
    <x v="0"/>
    <s v="Exc"/>
    <s v="D"/>
    <x v="1"/>
    <n v="7.29"/>
    <x v="6"/>
    <x v="1"/>
    <x v="2"/>
    <x v="0"/>
  </r>
  <r>
    <s v="SNZ-65340-705"/>
    <x v="5"/>
    <x v="5"/>
    <s v="L-L-0.2"/>
    <n v="1"/>
    <x v="5"/>
    <n v="0"/>
    <x v="1"/>
    <s v="Lib"/>
    <s v="L"/>
    <x v="3"/>
    <n v="4.7549999999999999"/>
    <x v="7"/>
    <x v="3"/>
    <x v="1"/>
    <x v="0"/>
  </r>
  <r>
    <s v="EZT-46571-659"/>
    <x v="6"/>
    <x v="6"/>
    <s v="R-M-0.5"/>
    <n v="3"/>
    <x v="6"/>
    <s v="gpetracci8@livejournal.com"/>
    <x v="0"/>
    <s v="Rob"/>
    <s v="M"/>
    <x v="1"/>
    <n v="5.97"/>
    <x v="8"/>
    <x v="0"/>
    <x v="0"/>
    <x v="1"/>
  </r>
  <r>
    <s v="NWQ-70061-912"/>
    <x v="0"/>
    <x v="7"/>
    <s v="R-M-0.5"/>
    <n v="1"/>
    <x v="7"/>
    <s v="rraven9@ed.gov"/>
    <x v="0"/>
    <s v="Rob"/>
    <s v="M"/>
    <x v="1"/>
    <n v="5.97"/>
    <x v="9"/>
    <x v="0"/>
    <x v="0"/>
    <x v="1"/>
  </r>
  <r>
    <s v="BKK-47233-845"/>
    <x v="7"/>
    <x v="8"/>
    <s v="A-D-1"/>
    <n v="4"/>
    <x v="8"/>
    <s v="fferbera@businesswire.com"/>
    <x v="0"/>
    <s v="Ara"/>
    <s v="D"/>
    <x v="0"/>
    <n v="9.9499999999999993"/>
    <x v="10"/>
    <x v="2"/>
    <x v="2"/>
    <x v="1"/>
  </r>
  <r>
    <s v="VQR-01002-970"/>
    <x v="8"/>
    <x v="9"/>
    <s v="E-L-2.5"/>
    <n v="5"/>
    <x v="9"/>
    <s v="dphizackerlyb@utexas.edu"/>
    <x v="0"/>
    <s v="Exc"/>
    <s v="L"/>
    <x v="2"/>
    <n v="34.154999999999994"/>
    <x v="11"/>
    <x v="1"/>
    <x v="1"/>
    <x v="0"/>
  </r>
  <r>
    <s v="SZW-48378-399"/>
    <x v="9"/>
    <x v="10"/>
    <s v="R-M-1"/>
    <n v="5"/>
    <x v="10"/>
    <s v="rscholarc@nyu.edu"/>
    <x v="0"/>
    <s v="Rob"/>
    <s v="M"/>
    <x v="0"/>
    <n v="9.9499999999999993"/>
    <x v="12"/>
    <x v="0"/>
    <x v="0"/>
    <x v="1"/>
  </r>
  <r>
    <s v="ITA-87418-783"/>
    <x v="10"/>
    <x v="11"/>
    <s v="R-D-2.5"/>
    <n v="2"/>
    <x v="11"/>
    <s v="tvanyutind@wix.com"/>
    <x v="0"/>
    <s v="Rob"/>
    <s v="D"/>
    <x v="2"/>
    <n v="20.584999999999997"/>
    <x v="13"/>
    <x v="0"/>
    <x v="2"/>
    <x v="1"/>
  </r>
  <r>
    <s v="GNZ-46006-527"/>
    <x v="11"/>
    <x v="12"/>
    <s v="L-D-0.2"/>
    <n v="3"/>
    <x v="12"/>
    <s v="ptrobee@wunderground.com"/>
    <x v="0"/>
    <s v="Lib"/>
    <s v="D"/>
    <x v="3"/>
    <n v="3.8849999999999998"/>
    <x v="14"/>
    <x v="3"/>
    <x v="2"/>
    <x v="0"/>
  </r>
  <r>
    <s v="FYQ-78248-319"/>
    <x v="12"/>
    <x v="13"/>
    <s v="R-M-2.5"/>
    <n v="5"/>
    <x v="13"/>
    <s v="loscroftf@ebay.co.uk"/>
    <x v="0"/>
    <s v="Rob"/>
    <s v="M"/>
    <x v="2"/>
    <n v="22.884999999999998"/>
    <x v="15"/>
    <x v="0"/>
    <x v="0"/>
    <x v="1"/>
  </r>
  <r>
    <s v="VAU-44387-624"/>
    <x v="13"/>
    <x v="14"/>
    <s v="A-M-0.2"/>
    <n v="6"/>
    <x v="14"/>
    <s v="malabasterg@hexun.com"/>
    <x v="0"/>
    <s v="Ara"/>
    <s v="M"/>
    <x v="3"/>
    <n v="3.375"/>
    <x v="16"/>
    <x v="2"/>
    <x v="0"/>
    <x v="1"/>
  </r>
  <r>
    <s v="RDW-33155-159"/>
    <x v="14"/>
    <x v="15"/>
    <s v="A-L-1"/>
    <n v="6"/>
    <x v="15"/>
    <s v="rbroxuph@jimdo.com"/>
    <x v="0"/>
    <s v="Ara"/>
    <s v="L"/>
    <x v="0"/>
    <n v="12.95"/>
    <x v="17"/>
    <x v="2"/>
    <x v="1"/>
    <x v="1"/>
  </r>
  <r>
    <s v="TDZ-59011-211"/>
    <x v="15"/>
    <x v="16"/>
    <s v="R-D-2.5"/>
    <n v="4"/>
    <x v="16"/>
    <s v="predfordi@ow.ly"/>
    <x v="1"/>
    <s v="Rob"/>
    <s v="D"/>
    <x v="2"/>
    <n v="20.584999999999997"/>
    <x v="18"/>
    <x v="0"/>
    <x v="2"/>
    <x v="0"/>
  </r>
  <r>
    <s v="IDU-25793-399"/>
    <x v="16"/>
    <x v="17"/>
    <s v="A-M-0.2"/>
    <n v="5"/>
    <x v="17"/>
    <s v="acorradinoj@harvard.edu"/>
    <x v="0"/>
    <s v="Ara"/>
    <s v="M"/>
    <x v="3"/>
    <n v="3.375"/>
    <x v="19"/>
    <x v="2"/>
    <x v="0"/>
    <x v="0"/>
  </r>
  <r>
    <s v="IDU-25793-399"/>
    <x v="16"/>
    <x v="17"/>
    <s v="E-D-0.2"/>
    <n v="4"/>
    <x v="17"/>
    <s v="acorradinoj@harvard.edu"/>
    <x v="0"/>
    <s v="Exc"/>
    <s v="D"/>
    <x v="3"/>
    <n v="3.645"/>
    <x v="20"/>
    <x v="1"/>
    <x v="2"/>
    <x v="0"/>
  </r>
  <r>
    <s v="NUO-20013-488"/>
    <x v="16"/>
    <x v="18"/>
    <s v="A-D-0.2"/>
    <n v="6"/>
    <x v="18"/>
    <s v="adavidowskyl@netvibes.com"/>
    <x v="0"/>
    <s v="Ara"/>
    <s v="D"/>
    <x v="3"/>
    <n v="2.9849999999999999"/>
    <x v="8"/>
    <x v="2"/>
    <x v="2"/>
    <x v="1"/>
  </r>
  <r>
    <s v="UQU-65630-479"/>
    <x v="17"/>
    <x v="19"/>
    <s v="R-M-2.5"/>
    <n v="4"/>
    <x v="19"/>
    <s v="aantukm@kickstarter.com"/>
    <x v="0"/>
    <s v="Rob"/>
    <s v="M"/>
    <x v="2"/>
    <n v="22.884999999999998"/>
    <x v="21"/>
    <x v="0"/>
    <x v="0"/>
    <x v="0"/>
  </r>
  <r>
    <s v="FEO-11834-332"/>
    <x v="18"/>
    <x v="20"/>
    <s v="A-D-0.2"/>
    <n v="4"/>
    <x v="20"/>
    <s v="ikleinertn@timesonline.co.uk"/>
    <x v="0"/>
    <s v="Ara"/>
    <s v="D"/>
    <x v="3"/>
    <n v="2.9849999999999999"/>
    <x v="22"/>
    <x v="2"/>
    <x v="2"/>
    <x v="0"/>
  </r>
  <r>
    <s v="TKY-71558-096"/>
    <x v="19"/>
    <x v="21"/>
    <s v="A-M-1"/>
    <n v="1"/>
    <x v="21"/>
    <s v="cblofeldo@amazon.co.uk"/>
    <x v="0"/>
    <s v="Ara"/>
    <s v="M"/>
    <x v="0"/>
    <n v="11.25"/>
    <x v="23"/>
    <x v="2"/>
    <x v="0"/>
    <x v="1"/>
  </r>
  <r>
    <s v="OXY-65322-253"/>
    <x v="20"/>
    <x v="22"/>
    <s v="E-M-0.2"/>
    <n v="3"/>
    <x v="22"/>
    <n v="0"/>
    <x v="0"/>
    <s v="Exc"/>
    <s v="M"/>
    <x v="3"/>
    <n v="4.125"/>
    <x v="24"/>
    <x v="1"/>
    <x v="0"/>
    <x v="0"/>
  </r>
  <r>
    <s v="EVP-43500-491"/>
    <x v="21"/>
    <x v="23"/>
    <s v="A-M-0.5"/>
    <n v="4"/>
    <x v="23"/>
    <s v="sshalesq@umich.edu"/>
    <x v="0"/>
    <s v="Ara"/>
    <s v="M"/>
    <x v="1"/>
    <n v="6.75"/>
    <x v="25"/>
    <x v="2"/>
    <x v="0"/>
    <x v="0"/>
  </r>
  <r>
    <s v="WAG-26945-689"/>
    <x v="22"/>
    <x v="24"/>
    <s v="A-M-0.2"/>
    <n v="5"/>
    <x v="24"/>
    <s v="vdanneilr@mtv.com"/>
    <x v="1"/>
    <s v="Ara"/>
    <s v="M"/>
    <x v="3"/>
    <n v="3.375"/>
    <x v="19"/>
    <x v="2"/>
    <x v="0"/>
    <x v="1"/>
  </r>
  <r>
    <s v="CHE-78995-767"/>
    <x v="23"/>
    <x v="25"/>
    <s v="A-D-0.5"/>
    <n v="3"/>
    <x v="25"/>
    <s v="tnewburys@usda.gov"/>
    <x v="1"/>
    <s v="Ara"/>
    <s v="D"/>
    <x v="1"/>
    <n v="5.97"/>
    <x v="8"/>
    <x v="2"/>
    <x v="2"/>
    <x v="1"/>
  </r>
  <r>
    <s v="RYZ-14633-602"/>
    <x v="21"/>
    <x v="26"/>
    <s v="A-D-1"/>
    <n v="4"/>
    <x v="26"/>
    <s v="mcalcuttt@baidu.com"/>
    <x v="1"/>
    <s v="Ara"/>
    <s v="D"/>
    <x v="0"/>
    <n v="9.9499999999999993"/>
    <x v="10"/>
    <x v="2"/>
    <x v="2"/>
    <x v="0"/>
  </r>
  <r>
    <s v="WOQ-36015-429"/>
    <x v="24"/>
    <x v="27"/>
    <s v="L-M-0.2"/>
    <n v="5"/>
    <x v="27"/>
    <n v="0"/>
    <x v="0"/>
    <s v="Lib"/>
    <s v="M"/>
    <x v="3"/>
    <n v="4.3650000000000002"/>
    <x v="26"/>
    <x v="3"/>
    <x v="0"/>
    <x v="1"/>
  </r>
  <r>
    <s v="WOQ-36015-429"/>
    <x v="24"/>
    <x v="27"/>
    <s v="A-D-0.5"/>
    <n v="6"/>
    <x v="27"/>
    <n v="0"/>
    <x v="0"/>
    <s v="Ara"/>
    <s v="D"/>
    <x v="1"/>
    <n v="5.97"/>
    <x v="27"/>
    <x v="2"/>
    <x v="2"/>
    <x v="1"/>
  </r>
  <r>
    <s v="WOQ-36015-429"/>
    <x v="24"/>
    <x v="27"/>
    <s v="L-M-0.5"/>
    <n v="6"/>
    <x v="27"/>
    <n v="0"/>
    <x v="0"/>
    <s v="Lib"/>
    <s v="M"/>
    <x v="1"/>
    <n v="8.73"/>
    <x v="28"/>
    <x v="3"/>
    <x v="0"/>
    <x v="1"/>
  </r>
  <r>
    <s v="SCT-60553-454"/>
    <x v="25"/>
    <x v="28"/>
    <s v="L-L-0.2"/>
    <n v="5"/>
    <x v="28"/>
    <s v="ggatheralx@123-reg.co.uk"/>
    <x v="0"/>
    <s v="Lib"/>
    <s v="L"/>
    <x v="3"/>
    <n v="4.7549999999999999"/>
    <x v="29"/>
    <x v="3"/>
    <x v="1"/>
    <x v="1"/>
  </r>
  <r>
    <s v="GFK-52063-244"/>
    <x v="26"/>
    <x v="29"/>
    <s v="L-L-0.5"/>
    <n v="6"/>
    <x v="29"/>
    <s v="uwelberryy@ebay.co.uk"/>
    <x v="2"/>
    <s v="Lib"/>
    <s v="L"/>
    <x v="1"/>
    <n v="9.51"/>
    <x v="30"/>
    <x v="3"/>
    <x v="1"/>
    <x v="0"/>
  </r>
  <r>
    <s v="AMM-79521-378"/>
    <x v="27"/>
    <x v="30"/>
    <s v="A-D-0.5"/>
    <n v="6"/>
    <x v="30"/>
    <s v="feilhartz@who.int"/>
    <x v="0"/>
    <s v="Ara"/>
    <s v="D"/>
    <x v="1"/>
    <n v="5.97"/>
    <x v="27"/>
    <x v="2"/>
    <x v="2"/>
    <x v="1"/>
  </r>
  <r>
    <s v="QUQ-90580-772"/>
    <x v="28"/>
    <x v="31"/>
    <s v="L-M-0.2"/>
    <n v="2"/>
    <x v="31"/>
    <s v="zponting10@altervista.org"/>
    <x v="0"/>
    <s v="Lib"/>
    <s v="M"/>
    <x v="3"/>
    <n v="4.3650000000000002"/>
    <x v="31"/>
    <x v="3"/>
    <x v="0"/>
    <x v="1"/>
  </r>
  <r>
    <s v="LGD-24408-274"/>
    <x v="29"/>
    <x v="32"/>
    <s v="L-L-0.5"/>
    <n v="3"/>
    <x v="32"/>
    <s v="sstrase11@booking.com"/>
    <x v="0"/>
    <s v="Lib"/>
    <s v="L"/>
    <x v="1"/>
    <n v="9.51"/>
    <x v="32"/>
    <x v="3"/>
    <x v="1"/>
    <x v="1"/>
  </r>
  <r>
    <s v="HCT-95608-959"/>
    <x v="30"/>
    <x v="33"/>
    <s v="R-M-2.5"/>
    <n v="5"/>
    <x v="33"/>
    <s v="dde12@unesco.org"/>
    <x v="0"/>
    <s v="Rob"/>
    <s v="M"/>
    <x v="2"/>
    <n v="22.884999999999998"/>
    <x v="15"/>
    <x v="0"/>
    <x v="0"/>
    <x v="1"/>
  </r>
  <r>
    <s v="OFX-99147-470"/>
    <x v="31"/>
    <x v="34"/>
    <s v="R-M-1"/>
    <n v="6"/>
    <x v="34"/>
    <n v="0"/>
    <x v="0"/>
    <s v="Rob"/>
    <s v="M"/>
    <x v="0"/>
    <n v="9.9499999999999993"/>
    <x v="33"/>
    <x v="0"/>
    <x v="0"/>
    <x v="0"/>
  </r>
  <r>
    <s v="LUO-37559-016"/>
    <x v="32"/>
    <x v="35"/>
    <s v="L-M-1"/>
    <n v="3"/>
    <x v="35"/>
    <n v="0"/>
    <x v="0"/>
    <s v="Lib"/>
    <s v="M"/>
    <x v="0"/>
    <n v="14.55"/>
    <x v="34"/>
    <x v="3"/>
    <x v="0"/>
    <x v="1"/>
  </r>
  <r>
    <s v="XWC-20610-167"/>
    <x v="33"/>
    <x v="36"/>
    <s v="E-D-0.2"/>
    <n v="2"/>
    <x v="36"/>
    <s v="lyeoland15@pbs.org"/>
    <x v="0"/>
    <s v="Exc"/>
    <s v="D"/>
    <x v="3"/>
    <n v="3.645"/>
    <x v="35"/>
    <x v="1"/>
    <x v="2"/>
    <x v="0"/>
  </r>
  <r>
    <s v="GPU-79113-136"/>
    <x v="34"/>
    <x v="37"/>
    <s v="R-D-0.2"/>
    <n v="3"/>
    <x v="37"/>
    <s v="atolworthy16@toplist.cz"/>
    <x v="0"/>
    <s v="Rob"/>
    <s v="D"/>
    <x v="3"/>
    <n v="2.6849999999999996"/>
    <x v="36"/>
    <x v="0"/>
    <x v="2"/>
    <x v="0"/>
  </r>
  <r>
    <s v="ULR-52653-960"/>
    <x v="35"/>
    <x v="38"/>
    <s v="L-L-2.5"/>
    <n v="2"/>
    <x v="38"/>
    <n v="0"/>
    <x v="0"/>
    <s v="Lib"/>
    <s v="L"/>
    <x v="2"/>
    <n v="36.454999999999998"/>
    <x v="37"/>
    <x v="3"/>
    <x v="1"/>
    <x v="1"/>
  </r>
  <r>
    <s v="HPI-42308-142"/>
    <x v="36"/>
    <x v="39"/>
    <s v="E-M-0.5"/>
    <n v="2"/>
    <x v="39"/>
    <s v="obaudassi18@seesaa.net"/>
    <x v="0"/>
    <s v="Exc"/>
    <s v="M"/>
    <x v="1"/>
    <n v="8.25"/>
    <x v="38"/>
    <x v="1"/>
    <x v="0"/>
    <x v="0"/>
  </r>
  <r>
    <s v="XHI-30227-581"/>
    <x v="37"/>
    <x v="40"/>
    <s v="L-D-2.5"/>
    <n v="6"/>
    <x v="40"/>
    <s v="pkingsbury19@comcast.net"/>
    <x v="0"/>
    <s v="Lib"/>
    <s v="D"/>
    <x v="2"/>
    <n v="29.784999999999997"/>
    <x v="39"/>
    <x v="3"/>
    <x v="2"/>
    <x v="1"/>
  </r>
  <r>
    <s v="DJH-05202-380"/>
    <x v="38"/>
    <x v="41"/>
    <s v="E-M-2.5"/>
    <n v="2"/>
    <x v="41"/>
    <n v="0"/>
    <x v="0"/>
    <s v="Exc"/>
    <s v="M"/>
    <x v="2"/>
    <n v="31.624999999999996"/>
    <x v="40"/>
    <x v="1"/>
    <x v="0"/>
    <x v="0"/>
  </r>
  <r>
    <s v="VMW-26889-781"/>
    <x v="39"/>
    <x v="42"/>
    <s v="A-L-0.2"/>
    <n v="2"/>
    <x v="42"/>
    <s v="acurley1b@hao123.com"/>
    <x v="0"/>
    <s v="Ara"/>
    <s v="L"/>
    <x v="3"/>
    <n v="3.8849999999999998"/>
    <x v="41"/>
    <x v="2"/>
    <x v="1"/>
    <x v="0"/>
  </r>
  <r>
    <s v="DBU-81099-586"/>
    <x v="40"/>
    <x v="43"/>
    <s v="A-D-2.5"/>
    <n v="4"/>
    <x v="43"/>
    <s v="rmcgilvary1c@tamu.edu"/>
    <x v="0"/>
    <s v="Ara"/>
    <s v="D"/>
    <x v="2"/>
    <n v="22.884999999999998"/>
    <x v="21"/>
    <x v="2"/>
    <x v="2"/>
    <x v="1"/>
  </r>
  <r>
    <s v="PQA-54820-810"/>
    <x v="41"/>
    <x v="44"/>
    <s v="A-L-1"/>
    <n v="3"/>
    <x v="44"/>
    <s v="ipikett1d@xinhuanet.com"/>
    <x v="0"/>
    <s v="Ara"/>
    <s v="L"/>
    <x v="0"/>
    <n v="12.95"/>
    <x v="5"/>
    <x v="2"/>
    <x v="1"/>
    <x v="1"/>
  </r>
  <r>
    <s v="XKB-41924-202"/>
    <x v="42"/>
    <x v="45"/>
    <s v="L-D-0.5"/>
    <n v="2"/>
    <x v="45"/>
    <s v="ibouldon1e@gizmodo.com"/>
    <x v="0"/>
    <s v="Lib"/>
    <s v="D"/>
    <x v="1"/>
    <n v="7.77"/>
    <x v="42"/>
    <x v="3"/>
    <x v="2"/>
    <x v="1"/>
  </r>
  <r>
    <s v="DWZ-69106-473"/>
    <x v="43"/>
    <x v="46"/>
    <s v="L-L-2.5"/>
    <n v="4"/>
    <x v="46"/>
    <s v="kflanders1f@over-blog.com"/>
    <x v="1"/>
    <s v="Lib"/>
    <s v="L"/>
    <x v="2"/>
    <n v="36.454999999999998"/>
    <x v="43"/>
    <x v="3"/>
    <x v="1"/>
    <x v="0"/>
  </r>
  <r>
    <s v="YHV-68700-050"/>
    <x v="44"/>
    <x v="47"/>
    <s v="R-M-0.5"/>
    <n v="5"/>
    <x v="47"/>
    <s v="hmattioli1g@webmd.com"/>
    <x v="2"/>
    <s v="Rob"/>
    <s v="M"/>
    <x v="1"/>
    <n v="5.97"/>
    <x v="44"/>
    <x v="0"/>
    <x v="0"/>
    <x v="1"/>
  </r>
  <r>
    <s v="YHV-68700-050"/>
    <x v="44"/>
    <x v="47"/>
    <s v="L-L-2.5"/>
    <n v="2"/>
    <x v="47"/>
    <s v="hmattioli1g@webmd.com"/>
    <x v="2"/>
    <s v="Lib"/>
    <s v="L"/>
    <x v="2"/>
    <n v="36.454999999999998"/>
    <x v="37"/>
    <x v="3"/>
    <x v="1"/>
    <x v="1"/>
  </r>
  <r>
    <s v="KRB-88066-642"/>
    <x v="45"/>
    <x v="48"/>
    <s v="L-M-1"/>
    <n v="5"/>
    <x v="48"/>
    <s v="agillard1i@issuu.com"/>
    <x v="0"/>
    <s v="Lib"/>
    <s v="M"/>
    <x v="0"/>
    <n v="14.55"/>
    <x v="45"/>
    <x v="3"/>
    <x v="0"/>
    <x v="1"/>
  </r>
  <r>
    <s v="LQU-08404-173"/>
    <x v="46"/>
    <x v="49"/>
    <s v="L-L-1"/>
    <n v="3"/>
    <x v="49"/>
    <n v="0"/>
    <x v="0"/>
    <s v="Lib"/>
    <s v="L"/>
    <x v="0"/>
    <n v="15.85"/>
    <x v="46"/>
    <x v="3"/>
    <x v="1"/>
    <x v="1"/>
  </r>
  <r>
    <s v="CWK-60159-881"/>
    <x v="47"/>
    <x v="50"/>
    <s v="E-D-0.2"/>
    <n v="3"/>
    <x v="50"/>
    <s v="tgrizard1k@odnoklassniki.ru"/>
    <x v="0"/>
    <s v="Exc"/>
    <s v="D"/>
    <x v="3"/>
    <n v="3.645"/>
    <x v="47"/>
    <x v="1"/>
    <x v="2"/>
    <x v="0"/>
  </r>
  <r>
    <s v="EEG-74197-843"/>
    <x v="48"/>
    <x v="51"/>
    <s v="E-L-1"/>
    <n v="4"/>
    <x v="51"/>
    <s v="rrelton1l@stanford.edu"/>
    <x v="0"/>
    <s v="Exc"/>
    <s v="L"/>
    <x v="0"/>
    <n v="14.85"/>
    <x v="48"/>
    <x v="1"/>
    <x v="1"/>
    <x v="1"/>
  </r>
  <r>
    <s v="UCZ-59708-525"/>
    <x v="49"/>
    <x v="52"/>
    <s v="L-D-2.5"/>
    <n v="3"/>
    <x v="52"/>
    <n v="0"/>
    <x v="0"/>
    <s v="Lib"/>
    <s v="D"/>
    <x v="2"/>
    <n v="29.784999999999997"/>
    <x v="49"/>
    <x v="3"/>
    <x v="2"/>
    <x v="0"/>
  </r>
  <r>
    <s v="HUB-47311-849"/>
    <x v="50"/>
    <x v="53"/>
    <s v="L-M-0.5"/>
    <n v="3"/>
    <x v="53"/>
    <s v="sgilroy1n@eepurl.com"/>
    <x v="0"/>
    <s v="Lib"/>
    <s v="M"/>
    <x v="1"/>
    <n v="8.73"/>
    <x v="50"/>
    <x v="3"/>
    <x v="0"/>
    <x v="0"/>
  </r>
  <r>
    <s v="WYM-17686-694"/>
    <x v="51"/>
    <x v="54"/>
    <s v="A-D-2.5"/>
    <n v="5"/>
    <x v="54"/>
    <s v="ccottingham1o@wikipedia.org"/>
    <x v="0"/>
    <s v="Ara"/>
    <s v="D"/>
    <x v="2"/>
    <n v="22.884999999999998"/>
    <x v="15"/>
    <x v="2"/>
    <x v="2"/>
    <x v="1"/>
  </r>
  <r>
    <s v="ZYQ-15797-695"/>
    <x v="52"/>
    <x v="55"/>
    <s v="R-D-0.5"/>
    <n v="5"/>
    <x v="55"/>
    <n v="0"/>
    <x v="2"/>
    <s v="Rob"/>
    <s v="D"/>
    <x v="1"/>
    <n v="5.3699999999999992"/>
    <x v="51"/>
    <x v="0"/>
    <x v="2"/>
    <x v="0"/>
  </r>
  <r>
    <s v="EEJ-16185-108"/>
    <x v="53"/>
    <x v="56"/>
    <s v="L-L-0.2"/>
    <n v="5"/>
    <x v="56"/>
    <n v="0"/>
    <x v="0"/>
    <s v="Lib"/>
    <s v="L"/>
    <x v="3"/>
    <n v="4.7549999999999999"/>
    <x v="29"/>
    <x v="3"/>
    <x v="1"/>
    <x v="0"/>
  </r>
  <r>
    <s v="RWR-77888-800"/>
    <x v="54"/>
    <x v="57"/>
    <s v="A-M-0.5"/>
    <n v="1"/>
    <x v="57"/>
    <s v="adykes1r@eventbrite.com"/>
    <x v="0"/>
    <s v="Ara"/>
    <s v="M"/>
    <x v="1"/>
    <n v="6.75"/>
    <x v="52"/>
    <x v="2"/>
    <x v="0"/>
    <x v="1"/>
  </r>
  <r>
    <s v="LHN-75209-742"/>
    <x v="55"/>
    <x v="58"/>
    <s v="R-M-0.5"/>
    <n v="6"/>
    <x v="58"/>
    <n v="0"/>
    <x v="0"/>
    <s v="Rob"/>
    <s v="M"/>
    <x v="1"/>
    <n v="5.97"/>
    <x v="27"/>
    <x v="0"/>
    <x v="0"/>
    <x v="0"/>
  </r>
  <r>
    <s v="TIR-71396-998"/>
    <x v="56"/>
    <x v="59"/>
    <s v="R-D-2.5"/>
    <n v="4"/>
    <x v="59"/>
    <s v="acockrem1t@engadget.com"/>
    <x v="0"/>
    <s v="Rob"/>
    <s v="D"/>
    <x v="2"/>
    <n v="20.584999999999997"/>
    <x v="18"/>
    <x v="0"/>
    <x v="2"/>
    <x v="0"/>
  </r>
  <r>
    <s v="RXF-37618-213"/>
    <x v="57"/>
    <x v="60"/>
    <s v="R-L-0.5"/>
    <n v="1"/>
    <x v="60"/>
    <s v="bumpleby1u@soundcloud.com"/>
    <x v="0"/>
    <s v="Rob"/>
    <s v="L"/>
    <x v="1"/>
    <n v="7.169999999999999"/>
    <x v="53"/>
    <x v="0"/>
    <x v="1"/>
    <x v="0"/>
  </r>
  <r>
    <s v="ANM-16388-634"/>
    <x v="58"/>
    <x v="61"/>
    <s v="L-L-0.2"/>
    <n v="2"/>
    <x v="61"/>
    <s v="nsaleway1v@dedecms.com"/>
    <x v="0"/>
    <s v="Lib"/>
    <s v="L"/>
    <x v="3"/>
    <n v="4.7549999999999999"/>
    <x v="54"/>
    <x v="3"/>
    <x v="1"/>
    <x v="1"/>
  </r>
  <r>
    <s v="WYL-29300-070"/>
    <x v="59"/>
    <x v="62"/>
    <s v="R-M-0.2"/>
    <n v="1"/>
    <x v="62"/>
    <s v="hgoulter1w@abc.net.au"/>
    <x v="0"/>
    <s v="Rob"/>
    <s v="M"/>
    <x v="3"/>
    <n v="2.9849999999999999"/>
    <x v="55"/>
    <x v="0"/>
    <x v="0"/>
    <x v="1"/>
  </r>
  <r>
    <s v="JHW-74554-805"/>
    <x v="60"/>
    <x v="63"/>
    <s v="R-M-1"/>
    <n v="6"/>
    <x v="63"/>
    <s v="grizzello1x@symantec.com"/>
    <x v="2"/>
    <s v="Rob"/>
    <s v="M"/>
    <x v="0"/>
    <n v="9.9499999999999993"/>
    <x v="33"/>
    <x v="0"/>
    <x v="0"/>
    <x v="0"/>
  </r>
  <r>
    <s v="KYS-27063-603"/>
    <x v="61"/>
    <x v="64"/>
    <s v="E-L-2.5"/>
    <n v="4"/>
    <x v="64"/>
    <s v="slist1y@mapquest.com"/>
    <x v="0"/>
    <s v="Exc"/>
    <s v="L"/>
    <x v="2"/>
    <n v="34.154999999999994"/>
    <x v="56"/>
    <x v="1"/>
    <x v="1"/>
    <x v="1"/>
  </r>
  <r>
    <s v="GAZ-58626-277"/>
    <x v="62"/>
    <x v="65"/>
    <s v="L-L-0.2"/>
    <n v="2"/>
    <x v="65"/>
    <s v="sedmondson1z@theguardian.com"/>
    <x v="1"/>
    <s v="Lib"/>
    <s v="L"/>
    <x v="3"/>
    <n v="4.7549999999999999"/>
    <x v="54"/>
    <x v="3"/>
    <x v="1"/>
    <x v="1"/>
  </r>
  <r>
    <s v="RPJ-37787-335"/>
    <x v="63"/>
    <x v="66"/>
    <s v="A-M-2.5"/>
    <n v="3"/>
    <x v="66"/>
    <n v="0"/>
    <x v="0"/>
    <s v="Ara"/>
    <s v="M"/>
    <x v="2"/>
    <n v="25.874999999999996"/>
    <x v="57"/>
    <x v="2"/>
    <x v="0"/>
    <x v="1"/>
  </r>
  <r>
    <s v="LEF-83057-763"/>
    <x v="64"/>
    <x v="67"/>
    <s v="L-M-0.2"/>
    <n v="5"/>
    <x v="67"/>
    <n v="0"/>
    <x v="0"/>
    <s v="Lib"/>
    <s v="M"/>
    <x v="3"/>
    <n v="4.3650000000000002"/>
    <x v="26"/>
    <x v="3"/>
    <x v="0"/>
    <x v="0"/>
  </r>
  <r>
    <s v="RPW-36123-215"/>
    <x v="65"/>
    <x v="68"/>
    <s v="E-L-0.5"/>
    <n v="2"/>
    <x v="68"/>
    <s v="jrangall22@newsvine.com"/>
    <x v="0"/>
    <s v="Exc"/>
    <s v="L"/>
    <x v="1"/>
    <n v="8.91"/>
    <x v="58"/>
    <x v="1"/>
    <x v="1"/>
    <x v="0"/>
  </r>
  <r>
    <s v="WLL-59044-117"/>
    <x v="66"/>
    <x v="69"/>
    <s v="R-D-1"/>
    <n v="6"/>
    <x v="69"/>
    <s v="kboorn23@ezinearticles.com"/>
    <x v="1"/>
    <s v="Rob"/>
    <s v="D"/>
    <x v="0"/>
    <n v="8.9499999999999993"/>
    <x v="59"/>
    <x v="0"/>
    <x v="2"/>
    <x v="0"/>
  </r>
  <r>
    <s v="AWT-22827-563"/>
    <x v="67"/>
    <x v="70"/>
    <s v="R-L-0.2"/>
    <n v="1"/>
    <x v="70"/>
    <n v="0"/>
    <x v="1"/>
    <s v="Rob"/>
    <s v="L"/>
    <x v="3"/>
    <n v="3.5849999999999995"/>
    <x v="60"/>
    <x v="0"/>
    <x v="1"/>
    <x v="0"/>
  </r>
  <r>
    <s v="QLM-07145-668"/>
    <x v="68"/>
    <x v="71"/>
    <s v="E-D-0.2"/>
    <n v="2"/>
    <x v="71"/>
    <s v="celgey25@webs.com"/>
    <x v="0"/>
    <s v="Exc"/>
    <s v="D"/>
    <x v="3"/>
    <n v="3.645"/>
    <x v="35"/>
    <x v="1"/>
    <x v="2"/>
    <x v="1"/>
  </r>
  <r>
    <s v="HVQ-64398-930"/>
    <x v="69"/>
    <x v="72"/>
    <s v="A-M-0.5"/>
    <n v="6"/>
    <x v="72"/>
    <s v="lmizzi26@rakuten.co.jp"/>
    <x v="0"/>
    <s v="Ara"/>
    <s v="M"/>
    <x v="1"/>
    <n v="6.75"/>
    <x v="61"/>
    <x v="2"/>
    <x v="0"/>
    <x v="0"/>
  </r>
  <r>
    <s v="WRT-40778-247"/>
    <x v="70"/>
    <x v="73"/>
    <s v="R-L-1"/>
    <n v="4"/>
    <x v="73"/>
    <s v="cgiacomazzo27@jigsy.com"/>
    <x v="0"/>
    <s v="Rob"/>
    <s v="L"/>
    <x v="0"/>
    <n v="11.95"/>
    <x v="62"/>
    <x v="0"/>
    <x v="1"/>
    <x v="1"/>
  </r>
  <r>
    <s v="SUB-13006-125"/>
    <x v="71"/>
    <x v="74"/>
    <s v="A-L-0.5"/>
    <n v="5"/>
    <x v="74"/>
    <s v="aarnow28@arizona.edu"/>
    <x v="0"/>
    <s v="Ara"/>
    <s v="L"/>
    <x v="1"/>
    <n v="7.77"/>
    <x v="5"/>
    <x v="2"/>
    <x v="1"/>
    <x v="0"/>
  </r>
  <r>
    <s v="CQM-49696-263"/>
    <x v="72"/>
    <x v="75"/>
    <s v="L-L-2.5"/>
    <n v="3"/>
    <x v="75"/>
    <s v="syann29@senate.gov"/>
    <x v="0"/>
    <s v="Lib"/>
    <s v="L"/>
    <x v="2"/>
    <n v="36.454999999999998"/>
    <x v="63"/>
    <x v="3"/>
    <x v="1"/>
    <x v="0"/>
  </r>
  <r>
    <s v="KXN-85094-246"/>
    <x v="73"/>
    <x v="76"/>
    <s v="L-M-2.5"/>
    <n v="3"/>
    <x v="76"/>
    <s v="bnaulls2a@tiny.cc"/>
    <x v="1"/>
    <s v="Lib"/>
    <s v="M"/>
    <x v="2"/>
    <n v="33.464999999999996"/>
    <x v="64"/>
    <x v="3"/>
    <x v="0"/>
    <x v="0"/>
  </r>
  <r>
    <s v="XOQ-12405-419"/>
    <x v="74"/>
    <x v="77"/>
    <s v="R-D-2.5"/>
    <n v="4"/>
    <x v="77"/>
    <n v="0"/>
    <x v="0"/>
    <s v="Rob"/>
    <s v="D"/>
    <x v="2"/>
    <n v="20.584999999999997"/>
    <x v="18"/>
    <x v="0"/>
    <x v="2"/>
    <x v="0"/>
  </r>
  <r>
    <s v="HYF-10254-369"/>
    <x v="75"/>
    <x v="78"/>
    <s v="L-L-0.5"/>
    <n v="1"/>
    <x v="78"/>
    <s v="zsherewood2c@apache.org"/>
    <x v="0"/>
    <s v="Lib"/>
    <s v="L"/>
    <x v="1"/>
    <n v="9.51"/>
    <x v="54"/>
    <x v="3"/>
    <x v="1"/>
    <x v="1"/>
  </r>
  <r>
    <s v="XXJ-47000-307"/>
    <x v="76"/>
    <x v="79"/>
    <s v="A-L-2.5"/>
    <n v="3"/>
    <x v="79"/>
    <s v="jdufaire2d@fc2.com"/>
    <x v="0"/>
    <s v="Ara"/>
    <s v="L"/>
    <x v="2"/>
    <n v="29.784999999999997"/>
    <x v="49"/>
    <x v="2"/>
    <x v="1"/>
    <x v="1"/>
  </r>
  <r>
    <s v="XXJ-47000-307"/>
    <x v="76"/>
    <x v="79"/>
    <s v="A-D-0.2"/>
    <n v="4"/>
    <x v="79"/>
    <s v="jdufaire2d@fc2.com"/>
    <x v="0"/>
    <s v="Ara"/>
    <s v="D"/>
    <x v="3"/>
    <n v="2.9849999999999999"/>
    <x v="22"/>
    <x v="2"/>
    <x v="2"/>
    <x v="1"/>
  </r>
  <r>
    <s v="ZDK-82166-357"/>
    <x v="77"/>
    <x v="80"/>
    <s v="A-M-1"/>
    <n v="3"/>
    <x v="80"/>
    <s v="bkeaveney2f@netlog.com"/>
    <x v="0"/>
    <s v="Ara"/>
    <s v="M"/>
    <x v="0"/>
    <n v="11.25"/>
    <x v="65"/>
    <x v="2"/>
    <x v="0"/>
    <x v="1"/>
  </r>
  <r>
    <s v="IHN-19982-362"/>
    <x v="78"/>
    <x v="81"/>
    <s v="R-L-1"/>
    <n v="3"/>
    <x v="81"/>
    <s v="egrise2g@cargocollective.com"/>
    <x v="0"/>
    <s v="Rob"/>
    <s v="L"/>
    <x v="0"/>
    <n v="11.95"/>
    <x v="66"/>
    <x v="0"/>
    <x v="1"/>
    <x v="1"/>
  </r>
  <r>
    <s v="VMT-10030-889"/>
    <x v="79"/>
    <x v="82"/>
    <s v="A-L-1"/>
    <n v="6"/>
    <x v="82"/>
    <s v="tgottelier2h@vistaprint.com"/>
    <x v="0"/>
    <s v="Ara"/>
    <s v="L"/>
    <x v="0"/>
    <n v="12.95"/>
    <x v="17"/>
    <x v="2"/>
    <x v="1"/>
    <x v="1"/>
  </r>
  <r>
    <s v="NHL-11063-100"/>
    <x v="80"/>
    <x v="83"/>
    <s v="A-L-1"/>
    <n v="4"/>
    <x v="83"/>
    <n v="0"/>
    <x v="1"/>
    <s v="Ara"/>
    <s v="L"/>
    <x v="0"/>
    <n v="12.95"/>
    <x v="67"/>
    <x v="2"/>
    <x v="1"/>
    <x v="0"/>
  </r>
  <r>
    <s v="ROV-87448-086"/>
    <x v="81"/>
    <x v="84"/>
    <s v="A-M-2.5"/>
    <n v="4"/>
    <x v="84"/>
    <s v="agreenhead2j@dailymail.co.uk"/>
    <x v="0"/>
    <s v="Ara"/>
    <s v="M"/>
    <x v="2"/>
    <n v="25.874999999999996"/>
    <x v="68"/>
    <x v="2"/>
    <x v="0"/>
    <x v="1"/>
  </r>
  <r>
    <s v="DGY-35773-612"/>
    <x v="82"/>
    <x v="85"/>
    <s v="E-L-1"/>
    <n v="3"/>
    <x v="85"/>
    <n v="0"/>
    <x v="0"/>
    <s v="Exc"/>
    <s v="L"/>
    <x v="0"/>
    <n v="14.85"/>
    <x v="69"/>
    <x v="1"/>
    <x v="1"/>
    <x v="0"/>
  </r>
  <r>
    <s v="YWH-50638-556"/>
    <x v="83"/>
    <x v="86"/>
    <s v="E-L-0.5"/>
    <n v="4"/>
    <x v="86"/>
    <s v="elangcaster2l@spotify.com"/>
    <x v="2"/>
    <s v="Exc"/>
    <s v="L"/>
    <x v="1"/>
    <n v="8.91"/>
    <x v="70"/>
    <x v="1"/>
    <x v="1"/>
    <x v="0"/>
  </r>
  <r>
    <s v="ISL-11200-600"/>
    <x v="84"/>
    <x v="87"/>
    <s v="A-D-0.2"/>
    <n v="6"/>
    <x v="87"/>
    <n v="0"/>
    <x v="1"/>
    <s v="Ara"/>
    <s v="D"/>
    <x v="3"/>
    <n v="2.9849999999999999"/>
    <x v="8"/>
    <x v="2"/>
    <x v="2"/>
    <x v="0"/>
  </r>
  <r>
    <s v="LBZ-75997-047"/>
    <x v="85"/>
    <x v="88"/>
    <s v="A-M-2.5"/>
    <n v="6"/>
    <x v="88"/>
    <s v="nmagauran2n@51.la"/>
    <x v="0"/>
    <s v="Ara"/>
    <s v="M"/>
    <x v="2"/>
    <n v="25.874999999999996"/>
    <x v="71"/>
    <x v="2"/>
    <x v="0"/>
    <x v="1"/>
  </r>
  <r>
    <s v="EUH-08089-954"/>
    <x v="86"/>
    <x v="89"/>
    <s v="A-D-0.2"/>
    <n v="2"/>
    <x v="89"/>
    <s v="vkirdsch2o@google.fr"/>
    <x v="0"/>
    <s v="Ara"/>
    <s v="D"/>
    <x v="3"/>
    <n v="2.9849999999999999"/>
    <x v="9"/>
    <x v="2"/>
    <x v="2"/>
    <x v="1"/>
  </r>
  <r>
    <s v="BLD-12227-251"/>
    <x v="87"/>
    <x v="90"/>
    <s v="A-M-0.5"/>
    <n v="2"/>
    <x v="90"/>
    <s v="iwhapple2p@com.com"/>
    <x v="0"/>
    <s v="Ara"/>
    <s v="M"/>
    <x v="1"/>
    <n v="6.75"/>
    <x v="72"/>
    <x v="2"/>
    <x v="0"/>
    <x v="1"/>
  </r>
  <r>
    <s v="OPY-30711-853"/>
    <x v="25"/>
    <x v="91"/>
    <s v="A-D-0.2"/>
    <n v="1"/>
    <x v="91"/>
    <n v="0"/>
    <x v="1"/>
    <s v="Ara"/>
    <s v="D"/>
    <x v="3"/>
    <n v="2.9849999999999999"/>
    <x v="55"/>
    <x v="2"/>
    <x v="2"/>
    <x v="1"/>
  </r>
  <r>
    <s v="DBC-44122-300"/>
    <x v="88"/>
    <x v="92"/>
    <s v="L-M-0.2"/>
    <n v="3"/>
    <x v="92"/>
    <n v="0"/>
    <x v="0"/>
    <s v="Lib"/>
    <s v="M"/>
    <x v="3"/>
    <n v="4.3650000000000002"/>
    <x v="73"/>
    <x v="3"/>
    <x v="0"/>
    <x v="0"/>
  </r>
  <r>
    <s v="FJQ-60035-234"/>
    <x v="89"/>
    <x v="93"/>
    <s v="A-L-0.2"/>
    <n v="2"/>
    <x v="93"/>
    <n v="0"/>
    <x v="0"/>
    <s v="Ara"/>
    <s v="L"/>
    <x v="3"/>
    <n v="3.8849999999999998"/>
    <x v="41"/>
    <x v="2"/>
    <x v="1"/>
    <x v="0"/>
  </r>
  <r>
    <s v="HSF-66926-425"/>
    <x v="90"/>
    <x v="94"/>
    <s v="L-D-2.5"/>
    <n v="5"/>
    <x v="94"/>
    <s v="nyoules2t@reference.com"/>
    <x v="1"/>
    <s v="Lib"/>
    <s v="D"/>
    <x v="2"/>
    <n v="29.784999999999997"/>
    <x v="74"/>
    <x v="3"/>
    <x v="2"/>
    <x v="0"/>
  </r>
  <r>
    <s v="LQG-41416-375"/>
    <x v="91"/>
    <x v="95"/>
    <s v="L-D-1"/>
    <n v="3"/>
    <x v="95"/>
    <s v="daizikovitz2u@answers.com"/>
    <x v="1"/>
    <s v="Lib"/>
    <s v="D"/>
    <x v="0"/>
    <n v="12.95"/>
    <x v="5"/>
    <x v="3"/>
    <x v="2"/>
    <x v="0"/>
  </r>
  <r>
    <s v="VZO-97265-841"/>
    <x v="92"/>
    <x v="96"/>
    <s v="R-M-0.2"/>
    <n v="4"/>
    <x v="96"/>
    <s v="brevel2v@fastcompany.com"/>
    <x v="0"/>
    <s v="Rob"/>
    <s v="M"/>
    <x v="3"/>
    <n v="2.9849999999999999"/>
    <x v="22"/>
    <x v="0"/>
    <x v="0"/>
    <x v="1"/>
  </r>
  <r>
    <s v="MOR-12987-399"/>
    <x v="93"/>
    <x v="97"/>
    <s v="L-M-1"/>
    <n v="6"/>
    <x v="97"/>
    <s v="epriddis2w@nationalgeographic.com"/>
    <x v="0"/>
    <s v="Lib"/>
    <s v="M"/>
    <x v="0"/>
    <n v="14.55"/>
    <x v="75"/>
    <x v="3"/>
    <x v="0"/>
    <x v="1"/>
  </r>
  <r>
    <s v="UOA-23786-489"/>
    <x v="94"/>
    <x v="98"/>
    <s v="A-M-0.5"/>
    <n v="6"/>
    <x v="98"/>
    <s v="qveel2x@jugem.jp"/>
    <x v="0"/>
    <s v="Ara"/>
    <s v="M"/>
    <x v="1"/>
    <n v="6.75"/>
    <x v="61"/>
    <x v="2"/>
    <x v="0"/>
    <x v="0"/>
  </r>
  <r>
    <s v="AJL-52941-018"/>
    <x v="95"/>
    <x v="99"/>
    <s v="E-D-1"/>
    <n v="2"/>
    <x v="99"/>
    <s v="lconyers2y@twitter.com"/>
    <x v="0"/>
    <s v="Exc"/>
    <s v="D"/>
    <x v="0"/>
    <n v="12.15"/>
    <x v="76"/>
    <x v="1"/>
    <x v="2"/>
    <x v="1"/>
  </r>
  <r>
    <s v="XSZ-84273-421"/>
    <x v="96"/>
    <x v="100"/>
    <s v="R-M-0.5"/>
    <n v="3"/>
    <x v="100"/>
    <s v="pwye2z@dagondesign.com"/>
    <x v="0"/>
    <s v="Rob"/>
    <s v="M"/>
    <x v="1"/>
    <n v="5.97"/>
    <x v="8"/>
    <x v="0"/>
    <x v="0"/>
    <x v="0"/>
  </r>
  <r>
    <s v="NUN-48214-216"/>
    <x v="97"/>
    <x v="101"/>
    <s v="A-M-0.5"/>
    <n v="4"/>
    <x v="101"/>
    <n v="0"/>
    <x v="0"/>
    <s v="Ara"/>
    <s v="M"/>
    <x v="1"/>
    <n v="6.75"/>
    <x v="25"/>
    <x v="2"/>
    <x v="0"/>
    <x v="1"/>
  </r>
  <r>
    <s v="AKV-93064-769"/>
    <x v="98"/>
    <x v="102"/>
    <s v="L-D-0.5"/>
    <n v="1"/>
    <x v="102"/>
    <s v="tsheryn31@mtv.com"/>
    <x v="0"/>
    <s v="Lib"/>
    <s v="D"/>
    <x v="1"/>
    <n v="7.77"/>
    <x v="41"/>
    <x v="3"/>
    <x v="2"/>
    <x v="0"/>
  </r>
  <r>
    <s v="BRB-40903-533"/>
    <x v="99"/>
    <x v="103"/>
    <s v="E-L-0.2"/>
    <n v="3"/>
    <x v="103"/>
    <s v="mredgrave32@cargocollective.com"/>
    <x v="0"/>
    <s v="Exc"/>
    <s v="L"/>
    <x v="3"/>
    <n v="4.4550000000000001"/>
    <x v="77"/>
    <x v="1"/>
    <x v="1"/>
    <x v="0"/>
  </r>
  <r>
    <s v="GPR-19973-483"/>
    <x v="100"/>
    <x v="104"/>
    <s v="R-D-0.5"/>
    <n v="5"/>
    <x v="104"/>
    <s v="bfominov33@yale.edu"/>
    <x v="0"/>
    <s v="Rob"/>
    <s v="D"/>
    <x v="1"/>
    <n v="5.3699999999999992"/>
    <x v="51"/>
    <x v="0"/>
    <x v="2"/>
    <x v="1"/>
  </r>
  <r>
    <s v="XIY-43041-882"/>
    <x v="101"/>
    <x v="105"/>
    <s v="A-M-1"/>
    <n v="1"/>
    <x v="105"/>
    <s v="scritchlow34@un.org"/>
    <x v="0"/>
    <s v="Ara"/>
    <s v="M"/>
    <x v="0"/>
    <n v="11.25"/>
    <x v="23"/>
    <x v="2"/>
    <x v="0"/>
    <x v="1"/>
  </r>
  <r>
    <s v="YGY-98425-969"/>
    <x v="102"/>
    <x v="106"/>
    <s v="L-M-1"/>
    <n v="1"/>
    <x v="106"/>
    <s v="msteptow35@earthlink.net"/>
    <x v="1"/>
    <s v="Lib"/>
    <s v="M"/>
    <x v="0"/>
    <n v="14.55"/>
    <x v="78"/>
    <x v="3"/>
    <x v="0"/>
    <x v="1"/>
  </r>
  <r>
    <s v="MSB-08397-648"/>
    <x v="103"/>
    <x v="107"/>
    <s v="R-L-0.2"/>
    <n v="4"/>
    <x v="107"/>
    <n v="0"/>
    <x v="0"/>
    <s v="Rob"/>
    <s v="L"/>
    <x v="3"/>
    <n v="3.5849999999999995"/>
    <x v="79"/>
    <x v="0"/>
    <x v="1"/>
    <x v="1"/>
  </r>
  <r>
    <s v="WDR-06028-345"/>
    <x v="104"/>
    <x v="108"/>
    <s v="L-L-1"/>
    <n v="1"/>
    <x v="108"/>
    <s v="imulliner37@pinterest.com"/>
    <x v="2"/>
    <s v="Lib"/>
    <s v="L"/>
    <x v="0"/>
    <n v="15.85"/>
    <x v="80"/>
    <x v="3"/>
    <x v="1"/>
    <x v="1"/>
  </r>
  <r>
    <s v="MXM-42948-061"/>
    <x v="105"/>
    <x v="109"/>
    <s v="L-L-0.2"/>
    <n v="4"/>
    <x v="109"/>
    <s v="gstandley38@dion.ne.jp"/>
    <x v="1"/>
    <s v="Lib"/>
    <s v="L"/>
    <x v="3"/>
    <n v="4.7549999999999999"/>
    <x v="81"/>
    <x v="3"/>
    <x v="1"/>
    <x v="0"/>
  </r>
  <r>
    <s v="MGQ-98961-173"/>
    <x v="11"/>
    <x v="110"/>
    <s v="L-L-0.5"/>
    <n v="4"/>
    <x v="110"/>
    <s v="bdrage39@youku.com"/>
    <x v="0"/>
    <s v="Lib"/>
    <s v="L"/>
    <x v="1"/>
    <n v="9.51"/>
    <x v="82"/>
    <x v="3"/>
    <x v="1"/>
    <x v="1"/>
  </r>
  <r>
    <s v="RFH-64349-897"/>
    <x v="106"/>
    <x v="111"/>
    <s v="E-D-0.5"/>
    <n v="3"/>
    <x v="111"/>
    <s v="myallop3a@fema.gov"/>
    <x v="0"/>
    <s v="Exc"/>
    <s v="D"/>
    <x v="1"/>
    <n v="7.29"/>
    <x v="6"/>
    <x v="1"/>
    <x v="2"/>
    <x v="0"/>
  </r>
  <r>
    <s v="TKL-20738-660"/>
    <x v="107"/>
    <x v="112"/>
    <s v="E-M-0.2"/>
    <n v="1"/>
    <x v="112"/>
    <s v="cswitsur3b@chronoengine.com"/>
    <x v="0"/>
    <s v="Exc"/>
    <s v="M"/>
    <x v="3"/>
    <n v="4.125"/>
    <x v="83"/>
    <x v="1"/>
    <x v="0"/>
    <x v="1"/>
  </r>
  <r>
    <s v="TKL-20738-660"/>
    <x v="107"/>
    <x v="112"/>
    <s v="A-L-0.2"/>
    <n v="1"/>
    <x v="112"/>
    <s v="cswitsur3b@chronoengine.com"/>
    <x v="0"/>
    <s v="Ara"/>
    <s v="L"/>
    <x v="3"/>
    <n v="3.8849999999999998"/>
    <x v="84"/>
    <x v="2"/>
    <x v="1"/>
    <x v="1"/>
  </r>
  <r>
    <s v="TKL-20738-660"/>
    <x v="107"/>
    <x v="112"/>
    <s v="E-M-1"/>
    <n v="5"/>
    <x v="112"/>
    <s v="cswitsur3b@chronoengine.com"/>
    <x v="0"/>
    <s v="Exc"/>
    <s v="M"/>
    <x v="0"/>
    <n v="13.75"/>
    <x v="85"/>
    <x v="1"/>
    <x v="0"/>
    <x v="1"/>
  </r>
  <r>
    <s v="GOW-03198-575"/>
    <x v="108"/>
    <x v="113"/>
    <s v="A-D-0.5"/>
    <n v="4"/>
    <x v="113"/>
    <s v="mludwell3e@blogger.com"/>
    <x v="0"/>
    <s v="Ara"/>
    <s v="D"/>
    <x v="1"/>
    <n v="5.97"/>
    <x v="86"/>
    <x v="2"/>
    <x v="2"/>
    <x v="0"/>
  </r>
  <r>
    <s v="QJB-90477-635"/>
    <x v="109"/>
    <x v="114"/>
    <s v="L-L-2.5"/>
    <n v="4"/>
    <x v="114"/>
    <s v="dbeauchamp3f@usda.gov"/>
    <x v="0"/>
    <s v="Lib"/>
    <s v="L"/>
    <x v="2"/>
    <n v="36.454999999999998"/>
    <x v="43"/>
    <x v="3"/>
    <x v="1"/>
    <x v="1"/>
  </r>
  <r>
    <s v="MWP-46239-785"/>
    <x v="110"/>
    <x v="115"/>
    <s v="L-M-0.2"/>
    <n v="5"/>
    <x v="115"/>
    <s v="srodliff3g@ted.com"/>
    <x v="0"/>
    <s v="Lib"/>
    <s v="M"/>
    <x v="3"/>
    <n v="4.3650000000000002"/>
    <x v="26"/>
    <x v="3"/>
    <x v="0"/>
    <x v="0"/>
  </r>
  <r>
    <s v="QDV-03406-248"/>
    <x v="111"/>
    <x v="116"/>
    <s v="L-M-0.5"/>
    <n v="3"/>
    <x v="116"/>
    <s v="swoodham3h@businesswire.com"/>
    <x v="1"/>
    <s v="Lib"/>
    <s v="M"/>
    <x v="1"/>
    <n v="8.73"/>
    <x v="50"/>
    <x v="3"/>
    <x v="0"/>
    <x v="0"/>
  </r>
  <r>
    <s v="GPH-40635-105"/>
    <x v="112"/>
    <x v="117"/>
    <s v="A-M-1"/>
    <n v="1"/>
    <x v="117"/>
    <s v="hsynnot3i@about.com"/>
    <x v="0"/>
    <s v="Ara"/>
    <s v="M"/>
    <x v="0"/>
    <n v="11.25"/>
    <x v="23"/>
    <x v="2"/>
    <x v="0"/>
    <x v="1"/>
  </r>
  <r>
    <s v="JOM-80930-071"/>
    <x v="113"/>
    <x v="118"/>
    <s v="L-D-1"/>
    <n v="6"/>
    <x v="118"/>
    <s v="rlepere3j@shop-pro.jp"/>
    <x v="1"/>
    <s v="Lib"/>
    <s v="D"/>
    <x v="0"/>
    <n v="12.95"/>
    <x v="17"/>
    <x v="3"/>
    <x v="2"/>
    <x v="1"/>
  </r>
  <r>
    <s v="OIL-26493-755"/>
    <x v="114"/>
    <x v="119"/>
    <s v="A-M-0.5"/>
    <n v="1"/>
    <x v="119"/>
    <s v="twoofinden3k@businesswire.com"/>
    <x v="0"/>
    <s v="Ara"/>
    <s v="M"/>
    <x v="1"/>
    <n v="6.75"/>
    <x v="52"/>
    <x v="2"/>
    <x v="0"/>
    <x v="1"/>
  </r>
  <r>
    <s v="CYV-13426-645"/>
    <x v="115"/>
    <x v="120"/>
    <s v="E-D-1"/>
    <n v="1"/>
    <x v="120"/>
    <s v="edacca3l@google.pl"/>
    <x v="0"/>
    <s v="Exc"/>
    <s v="D"/>
    <x v="0"/>
    <n v="12.15"/>
    <x v="87"/>
    <x v="1"/>
    <x v="2"/>
    <x v="0"/>
  </r>
  <r>
    <s v="WRP-39846-614"/>
    <x v="49"/>
    <x v="121"/>
    <s v="A-L-2.5"/>
    <n v="5"/>
    <x v="121"/>
    <n v="0"/>
    <x v="1"/>
    <s v="Ara"/>
    <s v="L"/>
    <x v="2"/>
    <n v="29.784999999999997"/>
    <x v="74"/>
    <x v="2"/>
    <x v="1"/>
    <x v="0"/>
  </r>
  <r>
    <s v="VDZ-76673-968"/>
    <x v="116"/>
    <x v="122"/>
    <s v="E-D-0.5"/>
    <n v="2"/>
    <x v="122"/>
    <s v="bhindsberg3n@blogs.com"/>
    <x v="0"/>
    <s v="Exc"/>
    <s v="D"/>
    <x v="1"/>
    <n v="7.29"/>
    <x v="20"/>
    <x v="1"/>
    <x v="2"/>
    <x v="0"/>
  </r>
  <r>
    <s v="VTV-03546-175"/>
    <x v="117"/>
    <x v="123"/>
    <s v="A-L-2.5"/>
    <n v="5"/>
    <x v="123"/>
    <s v="orobins3o@salon.com"/>
    <x v="0"/>
    <s v="Ara"/>
    <s v="L"/>
    <x v="2"/>
    <n v="29.784999999999997"/>
    <x v="74"/>
    <x v="2"/>
    <x v="1"/>
    <x v="0"/>
  </r>
  <r>
    <s v="GHR-72274-715"/>
    <x v="118"/>
    <x v="124"/>
    <s v="L-D-1"/>
    <n v="1"/>
    <x v="124"/>
    <s v="osyseland3p@independent.co.uk"/>
    <x v="0"/>
    <s v="Lib"/>
    <s v="D"/>
    <x v="0"/>
    <n v="12.95"/>
    <x v="2"/>
    <x v="3"/>
    <x v="2"/>
    <x v="1"/>
  </r>
  <r>
    <s v="ZGK-97262-313"/>
    <x v="119"/>
    <x v="125"/>
    <s v="E-M-2.5"/>
    <n v="3"/>
    <x v="125"/>
    <n v="0"/>
    <x v="0"/>
    <s v="Exc"/>
    <s v="M"/>
    <x v="2"/>
    <n v="31.624999999999996"/>
    <x v="88"/>
    <x v="1"/>
    <x v="0"/>
    <x v="0"/>
  </r>
  <r>
    <s v="ZFS-30776-804"/>
    <x v="120"/>
    <x v="126"/>
    <s v="A-L-0.5"/>
    <n v="5"/>
    <x v="126"/>
    <s v="bmcamish2e@tripadvisor.com"/>
    <x v="0"/>
    <s v="Ara"/>
    <s v="L"/>
    <x v="1"/>
    <n v="7.77"/>
    <x v="5"/>
    <x v="2"/>
    <x v="1"/>
    <x v="0"/>
  </r>
  <r>
    <s v="QUU-91729-492"/>
    <x v="121"/>
    <x v="127"/>
    <s v="A-D-0.2"/>
    <n v="4"/>
    <x v="127"/>
    <s v="lkeenleyside3s@topsy.com"/>
    <x v="0"/>
    <s v="Ara"/>
    <s v="D"/>
    <x v="3"/>
    <n v="2.9849999999999999"/>
    <x v="22"/>
    <x v="2"/>
    <x v="2"/>
    <x v="1"/>
  </r>
  <r>
    <s v="PVI-72795-960"/>
    <x v="122"/>
    <x v="128"/>
    <s v="E-L-2.5"/>
    <n v="3"/>
    <x v="128"/>
    <n v="0"/>
    <x v="1"/>
    <s v="Exc"/>
    <s v="L"/>
    <x v="2"/>
    <n v="34.154999999999994"/>
    <x v="89"/>
    <x v="1"/>
    <x v="1"/>
    <x v="1"/>
  </r>
  <r>
    <s v="PPP-78935-365"/>
    <x v="123"/>
    <x v="129"/>
    <s v="E-D-1"/>
    <n v="4"/>
    <x v="129"/>
    <n v="0"/>
    <x v="0"/>
    <s v="Exc"/>
    <s v="D"/>
    <x v="0"/>
    <n v="12.15"/>
    <x v="90"/>
    <x v="1"/>
    <x v="2"/>
    <x v="1"/>
  </r>
  <r>
    <s v="JUO-34131-517"/>
    <x v="124"/>
    <x v="130"/>
    <s v="L-D-1"/>
    <n v="6"/>
    <x v="130"/>
    <n v="0"/>
    <x v="0"/>
    <s v="Lib"/>
    <s v="D"/>
    <x v="0"/>
    <n v="12.95"/>
    <x v="17"/>
    <x v="3"/>
    <x v="2"/>
    <x v="0"/>
  </r>
  <r>
    <s v="ZJE-89333-489"/>
    <x v="125"/>
    <x v="131"/>
    <s v="L-D-2.5"/>
    <n v="1"/>
    <x v="131"/>
    <s v="vkundt3w@bigcartel.com"/>
    <x v="1"/>
    <s v="Lib"/>
    <s v="D"/>
    <x v="2"/>
    <n v="29.784999999999997"/>
    <x v="91"/>
    <x v="3"/>
    <x v="2"/>
    <x v="0"/>
  </r>
  <r>
    <s v="LOO-35324-159"/>
    <x v="126"/>
    <x v="132"/>
    <s v="A-L-0.2"/>
    <n v="4"/>
    <x v="132"/>
    <s v="bbett3x@google.de"/>
    <x v="0"/>
    <s v="Ara"/>
    <s v="L"/>
    <x v="3"/>
    <n v="3.8849999999999998"/>
    <x v="42"/>
    <x v="2"/>
    <x v="1"/>
    <x v="0"/>
  </r>
  <r>
    <s v="JBQ-93412-846"/>
    <x v="127"/>
    <x v="133"/>
    <s v="E-L-2.5"/>
    <n v="4"/>
    <x v="133"/>
    <n v="0"/>
    <x v="1"/>
    <s v="Exc"/>
    <s v="L"/>
    <x v="2"/>
    <n v="34.154999999999994"/>
    <x v="56"/>
    <x v="1"/>
    <x v="1"/>
    <x v="0"/>
  </r>
  <r>
    <s v="EHX-66333-637"/>
    <x v="128"/>
    <x v="134"/>
    <s v="L-M-0.5"/>
    <n v="2"/>
    <x v="134"/>
    <s v="dstaite3z@scientificamerican.com"/>
    <x v="0"/>
    <s v="Lib"/>
    <s v="M"/>
    <x v="1"/>
    <n v="8.73"/>
    <x v="92"/>
    <x v="3"/>
    <x v="0"/>
    <x v="1"/>
  </r>
  <r>
    <s v="WXG-25759-236"/>
    <x v="103"/>
    <x v="135"/>
    <s v="E-L-2.5"/>
    <n v="2"/>
    <x v="135"/>
    <s v="wkeyse40@apple.com"/>
    <x v="0"/>
    <s v="Exc"/>
    <s v="L"/>
    <x v="2"/>
    <n v="34.154999999999994"/>
    <x v="93"/>
    <x v="1"/>
    <x v="1"/>
    <x v="0"/>
  </r>
  <r>
    <s v="QNA-31113-984"/>
    <x v="129"/>
    <x v="136"/>
    <s v="L-M-0.2"/>
    <n v="4"/>
    <x v="136"/>
    <s v="oclausenthue41@marriott.com"/>
    <x v="0"/>
    <s v="Lib"/>
    <s v="M"/>
    <x v="3"/>
    <n v="4.3650000000000002"/>
    <x v="92"/>
    <x v="3"/>
    <x v="0"/>
    <x v="1"/>
  </r>
  <r>
    <s v="ZWI-52029-159"/>
    <x v="130"/>
    <x v="137"/>
    <s v="L-M-1"/>
    <n v="3"/>
    <x v="137"/>
    <s v="lfrancisco42@fema.gov"/>
    <x v="0"/>
    <s v="Lib"/>
    <s v="M"/>
    <x v="0"/>
    <n v="14.55"/>
    <x v="34"/>
    <x v="3"/>
    <x v="0"/>
    <x v="1"/>
  </r>
  <r>
    <s v="ZWI-52029-159"/>
    <x v="130"/>
    <x v="137"/>
    <s v="E-M-1"/>
    <n v="2"/>
    <x v="137"/>
    <s v="lfrancisco42@fema.gov"/>
    <x v="0"/>
    <s v="Exc"/>
    <s v="M"/>
    <x v="0"/>
    <n v="13.75"/>
    <x v="3"/>
    <x v="1"/>
    <x v="0"/>
    <x v="1"/>
  </r>
  <r>
    <s v="DFS-49954-707"/>
    <x v="131"/>
    <x v="138"/>
    <s v="E-D-0.2"/>
    <n v="5"/>
    <x v="138"/>
    <s v="gskingle44@clickbank.net"/>
    <x v="0"/>
    <s v="Exc"/>
    <s v="D"/>
    <x v="3"/>
    <n v="3.645"/>
    <x v="94"/>
    <x v="1"/>
    <x v="2"/>
    <x v="0"/>
  </r>
  <r>
    <s v="VYP-89830-878"/>
    <x v="132"/>
    <x v="139"/>
    <s v="A-M-2.5"/>
    <n v="2"/>
    <x v="139"/>
    <n v="0"/>
    <x v="0"/>
    <s v="Ara"/>
    <s v="M"/>
    <x v="2"/>
    <n v="25.874999999999996"/>
    <x v="95"/>
    <x v="2"/>
    <x v="0"/>
    <x v="0"/>
  </r>
  <r>
    <s v="AMT-40418-362"/>
    <x v="133"/>
    <x v="140"/>
    <s v="L-D-1"/>
    <n v="1"/>
    <x v="140"/>
    <s v="jbalsillie46@princeton.edu"/>
    <x v="0"/>
    <s v="Lib"/>
    <s v="D"/>
    <x v="0"/>
    <n v="12.95"/>
    <x v="2"/>
    <x v="3"/>
    <x v="2"/>
    <x v="0"/>
  </r>
  <r>
    <s v="NFQ-23241-793"/>
    <x v="134"/>
    <x v="141"/>
    <s v="A-M-1"/>
    <n v="3"/>
    <x v="141"/>
    <n v="0"/>
    <x v="0"/>
    <s v="Ara"/>
    <s v="M"/>
    <x v="0"/>
    <n v="11.25"/>
    <x v="65"/>
    <x v="2"/>
    <x v="0"/>
    <x v="0"/>
  </r>
  <r>
    <s v="JQK-64922-985"/>
    <x v="113"/>
    <x v="142"/>
    <s v="R-M-2.5"/>
    <n v="3"/>
    <x v="142"/>
    <s v="bleffek48@ning.com"/>
    <x v="0"/>
    <s v="Rob"/>
    <s v="M"/>
    <x v="2"/>
    <n v="22.884999999999998"/>
    <x v="96"/>
    <x v="0"/>
    <x v="0"/>
    <x v="0"/>
  </r>
  <r>
    <s v="YET-17732-678"/>
    <x v="135"/>
    <x v="143"/>
    <s v="R-D-0.2"/>
    <n v="1"/>
    <x v="143"/>
    <n v="0"/>
    <x v="0"/>
    <s v="Rob"/>
    <s v="D"/>
    <x v="3"/>
    <n v="2.6849999999999996"/>
    <x v="97"/>
    <x v="0"/>
    <x v="2"/>
    <x v="1"/>
  </r>
  <r>
    <s v="NKW-24945-846"/>
    <x v="35"/>
    <x v="144"/>
    <s v="A-D-2.5"/>
    <n v="5"/>
    <x v="144"/>
    <s v="jpray4a@youtube.com"/>
    <x v="0"/>
    <s v="Ara"/>
    <s v="D"/>
    <x v="2"/>
    <n v="22.884999999999998"/>
    <x v="15"/>
    <x v="2"/>
    <x v="2"/>
    <x v="1"/>
  </r>
  <r>
    <s v="VKA-82720-513"/>
    <x v="136"/>
    <x v="145"/>
    <s v="A-M-2.5"/>
    <n v="6"/>
    <x v="145"/>
    <s v="gholborn4b@ow.ly"/>
    <x v="0"/>
    <s v="Ara"/>
    <s v="M"/>
    <x v="2"/>
    <n v="25.874999999999996"/>
    <x v="71"/>
    <x v="2"/>
    <x v="0"/>
    <x v="0"/>
  </r>
  <r>
    <s v="THA-60599-417"/>
    <x v="137"/>
    <x v="146"/>
    <s v="A-M-2.5"/>
    <n v="3"/>
    <x v="146"/>
    <s v="fkeinrat4c@dailymail.co.uk"/>
    <x v="0"/>
    <s v="Ara"/>
    <s v="M"/>
    <x v="2"/>
    <n v="25.874999999999996"/>
    <x v="57"/>
    <x v="2"/>
    <x v="0"/>
    <x v="0"/>
  </r>
  <r>
    <s v="MEK-39769-035"/>
    <x v="138"/>
    <x v="147"/>
    <s v="R-D-2.5"/>
    <n v="3"/>
    <x v="147"/>
    <s v="pyea4d@aol.com"/>
    <x v="1"/>
    <s v="Rob"/>
    <s v="D"/>
    <x v="2"/>
    <n v="20.584999999999997"/>
    <x v="98"/>
    <x v="0"/>
    <x v="2"/>
    <x v="1"/>
  </r>
  <r>
    <s v="JAF-18294-750"/>
    <x v="139"/>
    <x v="148"/>
    <s v="R-D-2.5"/>
    <n v="6"/>
    <x v="148"/>
    <n v="0"/>
    <x v="0"/>
    <s v="Rob"/>
    <s v="D"/>
    <x v="2"/>
    <n v="20.584999999999997"/>
    <x v="99"/>
    <x v="0"/>
    <x v="2"/>
    <x v="0"/>
  </r>
  <r>
    <s v="TME-59627-221"/>
    <x v="140"/>
    <x v="149"/>
    <s v="L-L-2.5"/>
    <n v="6"/>
    <x v="149"/>
    <n v="0"/>
    <x v="0"/>
    <s v="Lib"/>
    <s v="L"/>
    <x v="2"/>
    <n v="36.454999999999998"/>
    <x v="100"/>
    <x v="3"/>
    <x v="1"/>
    <x v="1"/>
  </r>
  <r>
    <s v="UDG-65353-824"/>
    <x v="141"/>
    <x v="150"/>
    <s v="E-M-0.5"/>
    <n v="4"/>
    <x v="150"/>
    <s v="kswede4g@addthis.com"/>
    <x v="0"/>
    <s v="Exc"/>
    <s v="M"/>
    <x v="1"/>
    <n v="8.25"/>
    <x v="101"/>
    <x v="1"/>
    <x v="0"/>
    <x v="1"/>
  </r>
  <r>
    <s v="ENQ-42923-176"/>
    <x v="142"/>
    <x v="151"/>
    <s v="A-L-0.5"/>
    <n v="3"/>
    <x v="151"/>
    <s v="lrubrow4h@microsoft.com"/>
    <x v="0"/>
    <s v="Ara"/>
    <s v="L"/>
    <x v="1"/>
    <n v="7.77"/>
    <x v="102"/>
    <x v="2"/>
    <x v="1"/>
    <x v="1"/>
  </r>
  <r>
    <s v="CBT-55781-720"/>
    <x v="143"/>
    <x v="152"/>
    <s v="E-D-0.5"/>
    <n v="3"/>
    <x v="152"/>
    <s v="dtift4i@netvibes.com"/>
    <x v="0"/>
    <s v="Exc"/>
    <s v="D"/>
    <x v="1"/>
    <n v="7.29"/>
    <x v="6"/>
    <x v="1"/>
    <x v="2"/>
    <x v="0"/>
  </r>
  <r>
    <s v="NEU-86533-016"/>
    <x v="144"/>
    <x v="153"/>
    <s v="R-D-0.2"/>
    <n v="6"/>
    <x v="153"/>
    <s v="gschonfeld4j@oracle.com"/>
    <x v="0"/>
    <s v="Rob"/>
    <s v="D"/>
    <x v="3"/>
    <n v="2.6849999999999996"/>
    <x v="103"/>
    <x v="0"/>
    <x v="2"/>
    <x v="1"/>
  </r>
  <r>
    <s v="BYU-58154-603"/>
    <x v="145"/>
    <x v="154"/>
    <s v="E-D-0.5"/>
    <n v="4"/>
    <x v="154"/>
    <s v="cfeye4k@google.co.jp"/>
    <x v="1"/>
    <s v="Exc"/>
    <s v="D"/>
    <x v="1"/>
    <n v="7.29"/>
    <x v="104"/>
    <x v="1"/>
    <x v="2"/>
    <x v="1"/>
  </r>
  <r>
    <s v="EHJ-05910-257"/>
    <x v="146"/>
    <x v="155"/>
    <s v="R-D-1"/>
    <n v="6"/>
    <x v="155"/>
    <n v="0"/>
    <x v="0"/>
    <s v="Rob"/>
    <s v="D"/>
    <x v="0"/>
    <n v="8.9499999999999993"/>
    <x v="59"/>
    <x v="0"/>
    <x v="2"/>
    <x v="0"/>
  </r>
  <r>
    <s v="EIL-44855-309"/>
    <x v="147"/>
    <x v="156"/>
    <s v="R-D-0.5"/>
    <n v="5"/>
    <x v="156"/>
    <n v="0"/>
    <x v="0"/>
    <s v="Rob"/>
    <s v="D"/>
    <x v="1"/>
    <n v="5.3699999999999992"/>
    <x v="51"/>
    <x v="0"/>
    <x v="2"/>
    <x v="0"/>
  </r>
  <r>
    <s v="HCA-87224-420"/>
    <x v="148"/>
    <x v="157"/>
    <s v="E-M-0.5"/>
    <n v="5"/>
    <x v="157"/>
    <s v="tfero4n@comsenz.com"/>
    <x v="0"/>
    <s v="Exc"/>
    <s v="M"/>
    <x v="1"/>
    <n v="8.25"/>
    <x v="1"/>
    <x v="1"/>
    <x v="0"/>
    <x v="0"/>
  </r>
  <r>
    <s v="ABO-29054-365"/>
    <x v="149"/>
    <x v="158"/>
    <s v="A-M-0.5"/>
    <n v="6"/>
    <x v="158"/>
    <n v="0"/>
    <x v="1"/>
    <s v="Ara"/>
    <s v="M"/>
    <x v="1"/>
    <n v="6.75"/>
    <x v="61"/>
    <x v="2"/>
    <x v="0"/>
    <x v="1"/>
  </r>
  <r>
    <s v="TKN-58485-031"/>
    <x v="150"/>
    <x v="159"/>
    <s v="R-D-1"/>
    <n v="2"/>
    <x v="159"/>
    <s v="fdauney4p@sphinn.com"/>
    <x v="1"/>
    <s v="Rob"/>
    <s v="D"/>
    <x v="0"/>
    <n v="8.9499999999999993"/>
    <x v="105"/>
    <x v="0"/>
    <x v="2"/>
    <x v="1"/>
  </r>
  <r>
    <s v="RCK-04069-371"/>
    <x v="151"/>
    <x v="160"/>
    <s v="E-L-2.5"/>
    <n v="2"/>
    <x v="160"/>
    <s v="searley4q@youku.com"/>
    <x v="2"/>
    <s v="Exc"/>
    <s v="L"/>
    <x v="2"/>
    <n v="34.154999999999994"/>
    <x v="93"/>
    <x v="1"/>
    <x v="1"/>
    <x v="1"/>
  </r>
  <r>
    <s v="IRJ-67095-738"/>
    <x v="13"/>
    <x v="161"/>
    <s v="E-M-2.5"/>
    <n v="2"/>
    <x v="161"/>
    <s v="mchamberlayne4r@bigcartel.com"/>
    <x v="0"/>
    <s v="Exc"/>
    <s v="M"/>
    <x v="2"/>
    <n v="31.624999999999996"/>
    <x v="40"/>
    <x v="1"/>
    <x v="0"/>
    <x v="0"/>
  </r>
  <r>
    <s v="VEA-31961-977"/>
    <x v="79"/>
    <x v="162"/>
    <s v="E-D-0.5"/>
    <n v="3"/>
    <x v="162"/>
    <s v="bflaherty4s@moonfruit.com"/>
    <x v="1"/>
    <s v="Exc"/>
    <s v="D"/>
    <x v="1"/>
    <n v="7.29"/>
    <x v="6"/>
    <x v="1"/>
    <x v="2"/>
    <x v="1"/>
  </r>
  <r>
    <s v="BAF-42286-205"/>
    <x v="152"/>
    <x v="163"/>
    <s v="R-M-2.5"/>
    <n v="4"/>
    <x v="163"/>
    <s v="ocolbeck4t@sina.com.cn"/>
    <x v="0"/>
    <s v="Rob"/>
    <s v="M"/>
    <x v="2"/>
    <n v="22.884999999999998"/>
    <x v="21"/>
    <x v="0"/>
    <x v="0"/>
    <x v="1"/>
  </r>
  <r>
    <s v="WOR-52762-511"/>
    <x v="153"/>
    <x v="164"/>
    <s v="E-L-2.5"/>
    <n v="6"/>
    <x v="164"/>
    <n v="0"/>
    <x v="0"/>
    <s v="Exc"/>
    <s v="L"/>
    <x v="2"/>
    <n v="34.154999999999994"/>
    <x v="106"/>
    <x v="1"/>
    <x v="1"/>
    <x v="0"/>
  </r>
  <r>
    <s v="ZWK-03995-815"/>
    <x v="154"/>
    <x v="165"/>
    <s v="E-M-2.5"/>
    <n v="2"/>
    <x v="165"/>
    <s v="ehobbing4v@nsw.gov.au"/>
    <x v="0"/>
    <s v="Exc"/>
    <s v="M"/>
    <x v="2"/>
    <n v="31.624999999999996"/>
    <x v="40"/>
    <x v="1"/>
    <x v="0"/>
    <x v="0"/>
  </r>
  <r>
    <s v="CKF-43291-846"/>
    <x v="155"/>
    <x v="166"/>
    <s v="E-L-2.5"/>
    <n v="1"/>
    <x v="166"/>
    <s v="othynne4w@auda.org.au"/>
    <x v="0"/>
    <s v="Exc"/>
    <s v="L"/>
    <x v="2"/>
    <n v="34.154999999999994"/>
    <x v="107"/>
    <x v="1"/>
    <x v="1"/>
    <x v="0"/>
  </r>
  <r>
    <s v="RMW-74160-339"/>
    <x v="156"/>
    <x v="167"/>
    <s v="R-L-2.5"/>
    <n v="4"/>
    <x v="167"/>
    <s v="eheining4x@flickr.com"/>
    <x v="0"/>
    <s v="Rob"/>
    <s v="L"/>
    <x v="2"/>
    <n v="27.484999999999996"/>
    <x v="108"/>
    <x v="0"/>
    <x v="1"/>
    <x v="0"/>
  </r>
  <r>
    <s v="FMT-94584-786"/>
    <x v="22"/>
    <x v="168"/>
    <s v="A-L-1"/>
    <n v="2"/>
    <x v="168"/>
    <s v="kmelloi4y@imdb.com"/>
    <x v="0"/>
    <s v="Ara"/>
    <s v="L"/>
    <x v="0"/>
    <n v="12.95"/>
    <x v="109"/>
    <x v="2"/>
    <x v="1"/>
    <x v="1"/>
  </r>
  <r>
    <s v="NWT-78222-575"/>
    <x v="157"/>
    <x v="169"/>
    <s v="A-D-0.2"/>
    <n v="1"/>
    <x v="169"/>
    <n v="0"/>
    <x v="1"/>
    <s v="Ara"/>
    <s v="D"/>
    <x v="3"/>
    <n v="2.9849999999999999"/>
    <x v="55"/>
    <x v="2"/>
    <x v="2"/>
    <x v="1"/>
  </r>
  <r>
    <s v="EOI-02511-919"/>
    <x v="158"/>
    <x v="170"/>
    <s v="E-L-0.2"/>
    <n v="5"/>
    <x v="170"/>
    <s v="amussen50@51.la"/>
    <x v="0"/>
    <s v="Exc"/>
    <s v="L"/>
    <x v="3"/>
    <n v="4.4550000000000001"/>
    <x v="110"/>
    <x v="1"/>
    <x v="1"/>
    <x v="1"/>
  </r>
  <r>
    <s v="EOI-02511-919"/>
    <x v="158"/>
    <x v="170"/>
    <s v="A-D-0.5"/>
    <n v="5"/>
    <x v="170"/>
    <s v="amussen50@51.la"/>
    <x v="0"/>
    <s v="Ara"/>
    <s v="D"/>
    <x v="1"/>
    <n v="5.97"/>
    <x v="44"/>
    <x v="2"/>
    <x v="2"/>
    <x v="1"/>
  </r>
  <r>
    <s v="UCT-03935-589"/>
    <x v="78"/>
    <x v="171"/>
    <s v="R-D-0.5"/>
    <n v="6"/>
    <x v="171"/>
    <s v="amundford52@nbcnews.com"/>
    <x v="0"/>
    <s v="Rob"/>
    <s v="D"/>
    <x v="1"/>
    <n v="5.3699999999999992"/>
    <x v="111"/>
    <x v="0"/>
    <x v="2"/>
    <x v="1"/>
  </r>
  <r>
    <s v="SBI-60013-494"/>
    <x v="159"/>
    <x v="172"/>
    <s v="E-M-0.2"/>
    <n v="2"/>
    <x v="172"/>
    <s v="twalas53@google.ca"/>
    <x v="0"/>
    <s v="Exc"/>
    <s v="M"/>
    <x v="3"/>
    <n v="4.125"/>
    <x v="112"/>
    <x v="1"/>
    <x v="0"/>
    <x v="1"/>
  </r>
  <r>
    <s v="QRA-73277-814"/>
    <x v="160"/>
    <x v="173"/>
    <s v="A-L-0.5"/>
    <n v="4"/>
    <x v="173"/>
    <s v="iblazewicz54@thetimes.co.uk"/>
    <x v="0"/>
    <s v="Ara"/>
    <s v="L"/>
    <x v="1"/>
    <n v="7.77"/>
    <x v="113"/>
    <x v="2"/>
    <x v="1"/>
    <x v="1"/>
  </r>
  <r>
    <s v="EQE-31648-909"/>
    <x v="161"/>
    <x v="174"/>
    <s v="E-D-0.5"/>
    <n v="5"/>
    <x v="174"/>
    <s v="arizzetti55@naver.com"/>
    <x v="0"/>
    <s v="Exc"/>
    <s v="D"/>
    <x v="1"/>
    <n v="7.29"/>
    <x v="114"/>
    <x v="1"/>
    <x v="2"/>
    <x v="0"/>
  </r>
  <r>
    <s v="QOO-24615-950"/>
    <x v="162"/>
    <x v="175"/>
    <s v="R-M-2.5"/>
    <n v="3"/>
    <x v="175"/>
    <s v="mmeriet56@noaa.gov"/>
    <x v="0"/>
    <s v="Rob"/>
    <s v="M"/>
    <x v="2"/>
    <n v="22.884999999999998"/>
    <x v="96"/>
    <x v="0"/>
    <x v="0"/>
    <x v="1"/>
  </r>
  <r>
    <s v="WDV-73864-037"/>
    <x v="70"/>
    <x v="176"/>
    <s v="L-M-0.5"/>
    <n v="5"/>
    <x v="176"/>
    <s v="lpratt57@netvibes.com"/>
    <x v="0"/>
    <s v="Lib"/>
    <s v="M"/>
    <x v="1"/>
    <n v="8.73"/>
    <x v="34"/>
    <x v="3"/>
    <x v="0"/>
    <x v="0"/>
  </r>
  <r>
    <s v="PKR-88575-066"/>
    <x v="163"/>
    <x v="177"/>
    <s v="E-L-0.2"/>
    <n v="1"/>
    <x v="177"/>
    <s v="akitchingham58@com.com"/>
    <x v="0"/>
    <s v="Exc"/>
    <s v="L"/>
    <x v="3"/>
    <n v="4.4550000000000001"/>
    <x v="115"/>
    <x v="1"/>
    <x v="1"/>
    <x v="0"/>
  </r>
  <r>
    <s v="BWR-85735-955"/>
    <x v="153"/>
    <x v="178"/>
    <s v="L-M-1"/>
    <n v="3"/>
    <x v="178"/>
    <s v="bbartholin59@xinhuanet.com"/>
    <x v="0"/>
    <s v="Lib"/>
    <s v="M"/>
    <x v="0"/>
    <n v="14.55"/>
    <x v="34"/>
    <x v="3"/>
    <x v="0"/>
    <x v="0"/>
  </r>
  <r>
    <s v="YFX-64795-136"/>
    <x v="164"/>
    <x v="179"/>
    <s v="L-M-2.5"/>
    <n v="1"/>
    <x v="179"/>
    <s v="mprinn5a@usa.gov"/>
    <x v="0"/>
    <s v="Lib"/>
    <s v="M"/>
    <x v="2"/>
    <n v="33.464999999999996"/>
    <x v="116"/>
    <x v="3"/>
    <x v="0"/>
    <x v="0"/>
  </r>
  <r>
    <s v="DDO-71442-967"/>
    <x v="165"/>
    <x v="180"/>
    <s v="L-D-0.2"/>
    <n v="5"/>
    <x v="180"/>
    <s v="abaudino5b@netvibes.com"/>
    <x v="0"/>
    <s v="Lib"/>
    <s v="D"/>
    <x v="3"/>
    <n v="3.8849999999999998"/>
    <x v="117"/>
    <x v="3"/>
    <x v="2"/>
    <x v="0"/>
  </r>
  <r>
    <s v="ILQ-11027-588"/>
    <x v="166"/>
    <x v="181"/>
    <s v="E-D-1"/>
    <n v="6"/>
    <x v="181"/>
    <s v="ppetrushanko5c@blinklist.com"/>
    <x v="1"/>
    <s v="Exc"/>
    <s v="D"/>
    <x v="0"/>
    <n v="12.15"/>
    <x v="118"/>
    <x v="1"/>
    <x v="2"/>
    <x v="0"/>
  </r>
  <r>
    <s v="KRZ-13868-122"/>
    <x v="167"/>
    <x v="182"/>
    <s v="E-L-1"/>
    <n v="3"/>
    <x v="182"/>
    <n v="0"/>
    <x v="0"/>
    <s v="Exc"/>
    <s v="L"/>
    <x v="0"/>
    <n v="14.85"/>
    <x v="69"/>
    <x v="1"/>
    <x v="1"/>
    <x v="1"/>
  </r>
  <r>
    <s v="VRM-93594-914"/>
    <x v="168"/>
    <x v="183"/>
    <s v="E-D-0.5"/>
    <n v="5"/>
    <x v="183"/>
    <s v="elaird5e@bing.com"/>
    <x v="0"/>
    <s v="Exc"/>
    <s v="D"/>
    <x v="1"/>
    <n v="7.29"/>
    <x v="114"/>
    <x v="1"/>
    <x v="2"/>
    <x v="1"/>
  </r>
  <r>
    <s v="HXL-22497-359"/>
    <x v="169"/>
    <x v="184"/>
    <s v="A-L-1"/>
    <n v="3"/>
    <x v="184"/>
    <s v="mhowsden5f@infoseek.co.jp"/>
    <x v="0"/>
    <s v="Ara"/>
    <s v="L"/>
    <x v="0"/>
    <n v="12.95"/>
    <x v="5"/>
    <x v="2"/>
    <x v="1"/>
    <x v="1"/>
  </r>
  <r>
    <s v="NOP-21394-646"/>
    <x v="170"/>
    <x v="185"/>
    <s v="E-L-0.5"/>
    <n v="6"/>
    <x v="185"/>
    <s v="ncuttler5g@parallels.com"/>
    <x v="0"/>
    <s v="Exc"/>
    <s v="L"/>
    <x v="1"/>
    <n v="8.91"/>
    <x v="119"/>
    <x v="1"/>
    <x v="1"/>
    <x v="1"/>
  </r>
  <r>
    <s v="NOP-21394-646"/>
    <x v="170"/>
    <x v="185"/>
    <s v="L-D-2.5"/>
    <n v="2"/>
    <x v="185"/>
    <s v="ncuttler5g@parallels.com"/>
    <x v="0"/>
    <s v="Lib"/>
    <s v="D"/>
    <x v="2"/>
    <n v="29.784999999999997"/>
    <x v="120"/>
    <x v="3"/>
    <x v="2"/>
    <x v="1"/>
  </r>
  <r>
    <s v="NOP-21394-646"/>
    <x v="170"/>
    <x v="185"/>
    <s v="L-D-2.5"/>
    <n v="3"/>
    <x v="185"/>
    <s v="ncuttler5g@parallels.com"/>
    <x v="0"/>
    <s v="Lib"/>
    <s v="D"/>
    <x v="2"/>
    <n v="29.784999999999997"/>
    <x v="49"/>
    <x v="3"/>
    <x v="2"/>
    <x v="1"/>
  </r>
  <r>
    <s v="NOP-21394-646"/>
    <x v="170"/>
    <x v="185"/>
    <s v="L-L-0.5"/>
    <n v="4"/>
    <x v="185"/>
    <s v="ncuttler5g@parallels.com"/>
    <x v="0"/>
    <s v="Lib"/>
    <s v="L"/>
    <x v="1"/>
    <n v="9.51"/>
    <x v="82"/>
    <x v="3"/>
    <x v="1"/>
    <x v="1"/>
  </r>
  <r>
    <s v="NOP-21394-646"/>
    <x v="170"/>
    <x v="185"/>
    <s v="E-M-1"/>
    <n v="3"/>
    <x v="185"/>
    <s v="ncuttler5g@parallels.com"/>
    <x v="0"/>
    <s v="Exc"/>
    <s v="M"/>
    <x v="0"/>
    <n v="13.75"/>
    <x v="1"/>
    <x v="1"/>
    <x v="0"/>
    <x v="1"/>
  </r>
  <r>
    <s v="FTV-77095-168"/>
    <x v="171"/>
    <x v="186"/>
    <s v="L-L-0.5"/>
    <n v="6"/>
    <x v="186"/>
    <n v="0"/>
    <x v="0"/>
    <s v="Lib"/>
    <s v="L"/>
    <x v="1"/>
    <n v="9.51"/>
    <x v="30"/>
    <x v="3"/>
    <x v="1"/>
    <x v="1"/>
  </r>
  <r>
    <s v="BOR-02906-411"/>
    <x v="172"/>
    <x v="187"/>
    <s v="L-D-2.5"/>
    <n v="6"/>
    <x v="187"/>
    <s v="tfelip5m@typepad.com"/>
    <x v="0"/>
    <s v="Lib"/>
    <s v="D"/>
    <x v="2"/>
    <n v="29.784999999999997"/>
    <x v="39"/>
    <x v="3"/>
    <x v="2"/>
    <x v="0"/>
  </r>
  <r>
    <s v="WMP-68847-770"/>
    <x v="173"/>
    <x v="188"/>
    <s v="L-L-0.2"/>
    <n v="1"/>
    <x v="188"/>
    <s v="vle5n@disqus.com"/>
    <x v="0"/>
    <s v="Lib"/>
    <s v="L"/>
    <x v="3"/>
    <n v="4.7549999999999999"/>
    <x v="7"/>
    <x v="3"/>
    <x v="1"/>
    <x v="1"/>
  </r>
  <r>
    <s v="TMO-22785-872"/>
    <x v="174"/>
    <x v="189"/>
    <s v="E-M-1"/>
    <n v="6"/>
    <x v="189"/>
    <n v="0"/>
    <x v="0"/>
    <s v="Exc"/>
    <s v="M"/>
    <x v="0"/>
    <n v="13.75"/>
    <x v="121"/>
    <x v="1"/>
    <x v="0"/>
    <x v="1"/>
  </r>
  <r>
    <s v="TJG-73587-353"/>
    <x v="175"/>
    <x v="190"/>
    <s v="R-D-0.2"/>
    <n v="3"/>
    <x v="190"/>
    <n v="0"/>
    <x v="0"/>
    <s v="Rob"/>
    <s v="D"/>
    <x v="3"/>
    <n v="2.6849999999999996"/>
    <x v="36"/>
    <x v="0"/>
    <x v="2"/>
    <x v="0"/>
  </r>
  <r>
    <s v="OOU-61343-455"/>
    <x v="176"/>
    <x v="191"/>
    <s v="A-M-1"/>
    <n v="2"/>
    <x v="191"/>
    <s v="npoolman5q@howstuffworks.com"/>
    <x v="0"/>
    <s v="Ara"/>
    <s v="M"/>
    <x v="0"/>
    <n v="11.25"/>
    <x v="122"/>
    <x v="2"/>
    <x v="0"/>
    <x v="1"/>
  </r>
  <r>
    <s v="RMA-08327-369"/>
    <x v="142"/>
    <x v="192"/>
    <s v="A-M-0.5"/>
    <n v="6"/>
    <x v="192"/>
    <s v="oduny5r@constantcontact.com"/>
    <x v="0"/>
    <s v="Ara"/>
    <s v="M"/>
    <x v="1"/>
    <n v="6.75"/>
    <x v="61"/>
    <x v="2"/>
    <x v="0"/>
    <x v="0"/>
  </r>
  <r>
    <s v="SFB-97929-779"/>
    <x v="177"/>
    <x v="193"/>
    <s v="E-D-0.5"/>
    <n v="4"/>
    <x v="193"/>
    <s v="chalfhide5s@google.ru"/>
    <x v="1"/>
    <s v="Exc"/>
    <s v="D"/>
    <x v="1"/>
    <n v="7.29"/>
    <x v="104"/>
    <x v="1"/>
    <x v="2"/>
    <x v="0"/>
  </r>
  <r>
    <s v="AUP-10128-606"/>
    <x v="178"/>
    <x v="194"/>
    <s v="A-M-0.5"/>
    <n v="1"/>
    <x v="194"/>
    <s v="fmalecky5t@list-manage.com"/>
    <x v="2"/>
    <s v="Ara"/>
    <s v="M"/>
    <x v="1"/>
    <n v="6.75"/>
    <x v="52"/>
    <x v="2"/>
    <x v="0"/>
    <x v="1"/>
  </r>
  <r>
    <s v="YTW-40242-005"/>
    <x v="179"/>
    <x v="195"/>
    <s v="L-D-1"/>
    <n v="4"/>
    <x v="195"/>
    <s v="aattwater5u@wikia.com"/>
    <x v="0"/>
    <s v="Lib"/>
    <s v="D"/>
    <x v="0"/>
    <n v="12.95"/>
    <x v="67"/>
    <x v="3"/>
    <x v="2"/>
    <x v="0"/>
  </r>
  <r>
    <s v="PRP-53390-819"/>
    <x v="180"/>
    <x v="196"/>
    <s v="E-L-0.5"/>
    <n v="6"/>
    <x v="196"/>
    <s v="mwhellans5v@mapquest.com"/>
    <x v="0"/>
    <s v="Exc"/>
    <s v="L"/>
    <x v="1"/>
    <n v="8.91"/>
    <x v="119"/>
    <x v="1"/>
    <x v="1"/>
    <x v="1"/>
  </r>
  <r>
    <s v="GSJ-01065-125"/>
    <x v="181"/>
    <x v="197"/>
    <s v="E-D-0.2"/>
    <n v="4"/>
    <x v="197"/>
    <s v="dcamilletti5w@businesswire.com"/>
    <x v="0"/>
    <s v="Exc"/>
    <s v="D"/>
    <x v="3"/>
    <n v="3.645"/>
    <x v="20"/>
    <x v="1"/>
    <x v="2"/>
    <x v="0"/>
  </r>
  <r>
    <s v="YQU-65147-580"/>
    <x v="182"/>
    <x v="198"/>
    <s v="R-D-2.5"/>
    <n v="1"/>
    <x v="198"/>
    <s v="egalgey5x@wufoo.com"/>
    <x v="0"/>
    <s v="Rob"/>
    <s v="D"/>
    <x v="2"/>
    <n v="20.584999999999997"/>
    <x v="123"/>
    <x v="0"/>
    <x v="2"/>
    <x v="1"/>
  </r>
  <r>
    <s v="QPM-95832-683"/>
    <x v="183"/>
    <x v="199"/>
    <s v="L-L-1"/>
    <n v="2"/>
    <x v="199"/>
    <s v="mhame5y@newsvine.com"/>
    <x v="1"/>
    <s v="Lib"/>
    <s v="L"/>
    <x v="0"/>
    <n v="15.85"/>
    <x v="124"/>
    <x v="3"/>
    <x v="1"/>
    <x v="1"/>
  </r>
  <r>
    <s v="BNQ-88920-567"/>
    <x v="184"/>
    <x v="200"/>
    <s v="L-D-0.2"/>
    <n v="6"/>
    <x v="200"/>
    <s v="igurnee5z@usnews.com"/>
    <x v="0"/>
    <s v="Lib"/>
    <s v="D"/>
    <x v="3"/>
    <n v="3.8849999999999998"/>
    <x v="102"/>
    <x v="3"/>
    <x v="2"/>
    <x v="1"/>
  </r>
  <r>
    <s v="PUX-47906-110"/>
    <x v="185"/>
    <x v="201"/>
    <s v="L-M-1"/>
    <n v="4"/>
    <x v="201"/>
    <s v="asnowding60@comsenz.com"/>
    <x v="0"/>
    <s v="Lib"/>
    <s v="M"/>
    <x v="0"/>
    <n v="14.55"/>
    <x v="125"/>
    <x v="3"/>
    <x v="0"/>
    <x v="0"/>
  </r>
  <r>
    <s v="COL-72079-610"/>
    <x v="186"/>
    <x v="202"/>
    <s v="E-L-0.5"/>
    <n v="4"/>
    <x v="202"/>
    <s v="gpoinsett61@berkeley.edu"/>
    <x v="0"/>
    <s v="Exc"/>
    <s v="L"/>
    <x v="1"/>
    <n v="8.91"/>
    <x v="70"/>
    <x v="1"/>
    <x v="1"/>
    <x v="1"/>
  </r>
  <r>
    <s v="LBC-45686-819"/>
    <x v="187"/>
    <x v="203"/>
    <s v="A-M-1"/>
    <n v="5"/>
    <x v="203"/>
    <s v="rfurman62@t.co"/>
    <x v="1"/>
    <s v="Ara"/>
    <s v="M"/>
    <x v="0"/>
    <n v="11.25"/>
    <x v="126"/>
    <x v="2"/>
    <x v="0"/>
    <x v="0"/>
  </r>
  <r>
    <s v="BLQ-03709-265"/>
    <x v="148"/>
    <x v="204"/>
    <s v="R-L-0.2"/>
    <n v="3"/>
    <x v="204"/>
    <s v="ccrosier63@xrea.com"/>
    <x v="0"/>
    <s v="Rob"/>
    <s v="L"/>
    <x v="3"/>
    <n v="3.5849999999999995"/>
    <x v="127"/>
    <x v="0"/>
    <x v="1"/>
    <x v="1"/>
  </r>
  <r>
    <s v="BLQ-03709-265"/>
    <x v="148"/>
    <x v="204"/>
    <s v="R-M-0.2"/>
    <n v="5"/>
    <x v="204"/>
    <s v="ccrosier63@xrea.com"/>
    <x v="0"/>
    <s v="Rob"/>
    <s v="M"/>
    <x v="3"/>
    <n v="2.9849999999999999"/>
    <x v="128"/>
    <x v="0"/>
    <x v="0"/>
    <x v="1"/>
  </r>
  <r>
    <s v="VFZ-91673-181"/>
    <x v="188"/>
    <x v="205"/>
    <s v="A-L-1"/>
    <n v="6"/>
    <x v="205"/>
    <s v="lrushmer65@europa.eu"/>
    <x v="0"/>
    <s v="Ara"/>
    <s v="L"/>
    <x v="0"/>
    <n v="12.95"/>
    <x v="17"/>
    <x v="2"/>
    <x v="1"/>
    <x v="0"/>
  </r>
  <r>
    <s v="WKD-81956-870"/>
    <x v="189"/>
    <x v="206"/>
    <s v="L-D-0.5"/>
    <n v="3"/>
    <x v="206"/>
    <s v="wedinborough66@github.io"/>
    <x v="0"/>
    <s v="Lib"/>
    <s v="D"/>
    <x v="1"/>
    <n v="7.77"/>
    <x v="102"/>
    <x v="3"/>
    <x v="2"/>
    <x v="1"/>
  </r>
  <r>
    <s v="TNI-91067-006"/>
    <x v="190"/>
    <x v="207"/>
    <s v="E-L-1"/>
    <n v="4"/>
    <x v="207"/>
    <n v="0"/>
    <x v="0"/>
    <s v="Exc"/>
    <s v="L"/>
    <x v="0"/>
    <n v="14.85"/>
    <x v="48"/>
    <x v="1"/>
    <x v="1"/>
    <x v="0"/>
  </r>
  <r>
    <s v="IZA-61469-812"/>
    <x v="191"/>
    <x v="208"/>
    <s v="L-D-2.5"/>
    <n v="4"/>
    <x v="208"/>
    <s v="kbromehead68@un.org"/>
    <x v="0"/>
    <s v="Lib"/>
    <s v="D"/>
    <x v="2"/>
    <n v="29.784999999999997"/>
    <x v="129"/>
    <x v="3"/>
    <x v="2"/>
    <x v="0"/>
  </r>
  <r>
    <s v="PSS-22466-862"/>
    <x v="192"/>
    <x v="209"/>
    <s v="R-L-0.2"/>
    <n v="4"/>
    <x v="209"/>
    <s v="ewesterman69@si.edu"/>
    <x v="1"/>
    <s v="Rob"/>
    <s v="L"/>
    <x v="3"/>
    <n v="3.5849999999999995"/>
    <x v="79"/>
    <x v="0"/>
    <x v="1"/>
    <x v="1"/>
  </r>
  <r>
    <s v="REH-56504-397"/>
    <x v="193"/>
    <x v="210"/>
    <s v="A-M-2.5"/>
    <n v="5"/>
    <x v="210"/>
    <s v="ahutchens6a@amazonaws.com"/>
    <x v="0"/>
    <s v="Ara"/>
    <s v="M"/>
    <x v="2"/>
    <n v="25.874999999999996"/>
    <x v="130"/>
    <x v="2"/>
    <x v="0"/>
    <x v="1"/>
  </r>
  <r>
    <s v="ALA-62598-016"/>
    <x v="194"/>
    <x v="211"/>
    <s v="R-D-0.2"/>
    <n v="6"/>
    <x v="211"/>
    <s v="nwyvill6b@naver.com"/>
    <x v="2"/>
    <s v="Rob"/>
    <s v="D"/>
    <x v="3"/>
    <n v="2.6849999999999996"/>
    <x v="103"/>
    <x v="0"/>
    <x v="2"/>
    <x v="0"/>
  </r>
  <r>
    <s v="EYE-70374-835"/>
    <x v="195"/>
    <x v="212"/>
    <s v="R-L-0.2"/>
    <n v="5"/>
    <x v="212"/>
    <s v="bmathon6c@barnesandnoble.com"/>
    <x v="0"/>
    <s v="Rob"/>
    <s v="L"/>
    <x v="3"/>
    <n v="3.5849999999999995"/>
    <x v="131"/>
    <x v="0"/>
    <x v="1"/>
    <x v="1"/>
  </r>
  <r>
    <s v="CCZ-19589-212"/>
    <x v="196"/>
    <x v="213"/>
    <s v="L-M-0.2"/>
    <n v="2"/>
    <x v="213"/>
    <s v="kstreight6d@about.com"/>
    <x v="0"/>
    <s v="Lib"/>
    <s v="M"/>
    <x v="3"/>
    <n v="4.3650000000000002"/>
    <x v="31"/>
    <x v="3"/>
    <x v="0"/>
    <x v="1"/>
  </r>
  <r>
    <s v="BPT-83989-157"/>
    <x v="197"/>
    <x v="214"/>
    <s v="A-M-2.5"/>
    <n v="2"/>
    <x v="214"/>
    <s v="pcutchie6e@globo.com"/>
    <x v="0"/>
    <s v="Ara"/>
    <s v="M"/>
    <x v="2"/>
    <n v="25.874999999999996"/>
    <x v="95"/>
    <x v="2"/>
    <x v="0"/>
    <x v="1"/>
  </r>
  <r>
    <s v="YFH-87456-208"/>
    <x v="198"/>
    <x v="215"/>
    <s v="L-M-0.2"/>
    <n v="2"/>
    <x v="215"/>
    <n v="0"/>
    <x v="0"/>
    <s v="Lib"/>
    <s v="M"/>
    <x v="3"/>
    <n v="4.3650000000000002"/>
    <x v="31"/>
    <x v="3"/>
    <x v="0"/>
    <x v="0"/>
  </r>
  <r>
    <s v="JLN-14700-924"/>
    <x v="199"/>
    <x v="216"/>
    <s v="L-L-0.2"/>
    <n v="5"/>
    <x v="216"/>
    <s v="cgheraldi6g@opera.com"/>
    <x v="2"/>
    <s v="Lib"/>
    <s v="L"/>
    <x v="3"/>
    <n v="4.7549999999999999"/>
    <x v="29"/>
    <x v="3"/>
    <x v="1"/>
    <x v="1"/>
  </r>
  <r>
    <s v="JVW-22582-137"/>
    <x v="200"/>
    <x v="217"/>
    <s v="E-M-0.2"/>
    <n v="5"/>
    <x v="217"/>
    <s v="bkenwell6h@over-blog.com"/>
    <x v="0"/>
    <s v="Exc"/>
    <s v="M"/>
    <x v="3"/>
    <n v="4.125"/>
    <x v="132"/>
    <x v="1"/>
    <x v="0"/>
    <x v="1"/>
  </r>
  <r>
    <s v="LAA-41879-001"/>
    <x v="201"/>
    <x v="218"/>
    <s v="L-L-2.5"/>
    <n v="1"/>
    <x v="218"/>
    <s v="tsutty6i@google.es"/>
    <x v="0"/>
    <s v="Lib"/>
    <s v="L"/>
    <x v="2"/>
    <n v="36.454999999999998"/>
    <x v="133"/>
    <x v="3"/>
    <x v="1"/>
    <x v="1"/>
  </r>
  <r>
    <s v="BRV-64870-915"/>
    <x v="202"/>
    <x v="219"/>
    <s v="L-L-2.5"/>
    <n v="5"/>
    <x v="219"/>
    <n v="0"/>
    <x v="1"/>
    <s v="Lib"/>
    <s v="L"/>
    <x v="2"/>
    <n v="36.454999999999998"/>
    <x v="134"/>
    <x v="3"/>
    <x v="1"/>
    <x v="1"/>
  </r>
  <r>
    <s v="RGJ-12544-083"/>
    <x v="203"/>
    <x v="220"/>
    <s v="L-D-2.5"/>
    <n v="3"/>
    <x v="220"/>
    <s v="charce6k@cafepress.com"/>
    <x v="1"/>
    <s v="Lib"/>
    <s v="D"/>
    <x v="2"/>
    <n v="29.784999999999997"/>
    <x v="49"/>
    <x v="3"/>
    <x v="2"/>
    <x v="1"/>
  </r>
  <r>
    <s v="JJX-83339-346"/>
    <x v="204"/>
    <x v="221"/>
    <s v="R-L-0.2"/>
    <n v="1"/>
    <x v="221"/>
    <n v="0"/>
    <x v="0"/>
    <s v="Rob"/>
    <s v="L"/>
    <x v="3"/>
    <n v="3.5849999999999995"/>
    <x v="60"/>
    <x v="0"/>
    <x v="1"/>
    <x v="0"/>
  </r>
  <r>
    <s v="BIU-21970-705"/>
    <x v="205"/>
    <x v="222"/>
    <s v="R-M-2.5"/>
    <n v="2"/>
    <x v="222"/>
    <s v="fdrysdale6m@symantec.com"/>
    <x v="0"/>
    <s v="Rob"/>
    <s v="M"/>
    <x v="2"/>
    <n v="22.884999999999998"/>
    <x v="135"/>
    <x v="0"/>
    <x v="0"/>
    <x v="0"/>
  </r>
  <r>
    <s v="ELJ-87741-745"/>
    <x v="206"/>
    <x v="223"/>
    <s v="E-L-1"/>
    <n v="4"/>
    <x v="223"/>
    <s v="dmagowan6n@fc2.com"/>
    <x v="0"/>
    <s v="Exc"/>
    <s v="L"/>
    <x v="0"/>
    <n v="14.85"/>
    <x v="48"/>
    <x v="1"/>
    <x v="1"/>
    <x v="1"/>
  </r>
  <r>
    <s v="SGI-48226-857"/>
    <x v="207"/>
    <x v="224"/>
    <s v="A-M-2.5"/>
    <n v="6"/>
    <x v="224"/>
    <n v="0"/>
    <x v="0"/>
    <s v="Ara"/>
    <s v="M"/>
    <x v="2"/>
    <n v="25.874999999999996"/>
    <x v="71"/>
    <x v="2"/>
    <x v="0"/>
    <x v="0"/>
  </r>
  <r>
    <s v="AHV-66988-037"/>
    <x v="208"/>
    <x v="225"/>
    <s v="R-M-2.5"/>
    <n v="2"/>
    <x v="225"/>
    <n v="0"/>
    <x v="0"/>
    <s v="Rob"/>
    <s v="M"/>
    <x v="2"/>
    <n v="22.884999999999998"/>
    <x v="135"/>
    <x v="0"/>
    <x v="0"/>
    <x v="1"/>
  </r>
  <r>
    <s v="ISK-42066-094"/>
    <x v="209"/>
    <x v="226"/>
    <s v="E-D-1"/>
    <n v="3"/>
    <x v="226"/>
    <s v="srushbrooke6q@youku.com"/>
    <x v="0"/>
    <s v="Exc"/>
    <s v="D"/>
    <x v="0"/>
    <n v="12.15"/>
    <x v="114"/>
    <x v="1"/>
    <x v="2"/>
    <x v="0"/>
  </r>
  <r>
    <s v="FTC-35822-530"/>
    <x v="210"/>
    <x v="227"/>
    <s v="E-D-0.5"/>
    <n v="4"/>
    <x v="227"/>
    <s v="tdrynan6r@deviantart.com"/>
    <x v="0"/>
    <s v="Exc"/>
    <s v="D"/>
    <x v="1"/>
    <n v="7.29"/>
    <x v="104"/>
    <x v="1"/>
    <x v="2"/>
    <x v="0"/>
  </r>
  <r>
    <s v="VSS-56247-688"/>
    <x v="211"/>
    <x v="228"/>
    <s v="L-M-2.5"/>
    <n v="4"/>
    <x v="228"/>
    <s v="eyurkov6s@hud.gov"/>
    <x v="0"/>
    <s v="Lib"/>
    <s v="M"/>
    <x v="2"/>
    <n v="33.464999999999996"/>
    <x v="136"/>
    <x v="3"/>
    <x v="0"/>
    <x v="1"/>
  </r>
  <r>
    <s v="HVW-25584-144"/>
    <x v="212"/>
    <x v="229"/>
    <s v="L-L-0.2"/>
    <n v="5"/>
    <x v="229"/>
    <s v="lmallan6t@state.gov"/>
    <x v="0"/>
    <s v="Lib"/>
    <s v="L"/>
    <x v="3"/>
    <n v="4.7549999999999999"/>
    <x v="29"/>
    <x v="3"/>
    <x v="1"/>
    <x v="0"/>
  </r>
  <r>
    <s v="MUY-15309-209"/>
    <x v="213"/>
    <x v="230"/>
    <s v="L-D-1"/>
    <n v="3"/>
    <x v="230"/>
    <s v="gbentjens6u@netlog.com"/>
    <x v="2"/>
    <s v="Lib"/>
    <s v="D"/>
    <x v="0"/>
    <n v="12.95"/>
    <x v="5"/>
    <x v="3"/>
    <x v="2"/>
    <x v="1"/>
  </r>
  <r>
    <s v="VAJ-44572-469"/>
    <x v="63"/>
    <x v="231"/>
    <s v="R-L-0.2"/>
    <n v="6"/>
    <x v="231"/>
    <n v="0"/>
    <x v="1"/>
    <s v="Rob"/>
    <s v="L"/>
    <x v="3"/>
    <n v="3.5849999999999995"/>
    <x v="137"/>
    <x v="0"/>
    <x v="1"/>
    <x v="0"/>
  </r>
  <r>
    <s v="YJU-84377-606"/>
    <x v="214"/>
    <x v="232"/>
    <s v="A-D-1"/>
    <n v="1"/>
    <x v="232"/>
    <s v="lentwistle6w@omniture.com"/>
    <x v="0"/>
    <s v="Ara"/>
    <s v="D"/>
    <x v="0"/>
    <n v="9.9499999999999993"/>
    <x v="138"/>
    <x v="2"/>
    <x v="2"/>
    <x v="0"/>
  </r>
  <r>
    <s v="VNC-93921-469"/>
    <x v="215"/>
    <x v="233"/>
    <s v="L-L-1"/>
    <n v="1"/>
    <x v="233"/>
    <s v="zkiffe74@cyberchimps.com"/>
    <x v="0"/>
    <s v="Lib"/>
    <s v="L"/>
    <x v="0"/>
    <n v="15.85"/>
    <x v="80"/>
    <x v="3"/>
    <x v="1"/>
    <x v="0"/>
  </r>
  <r>
    <s v="OGB-91614-810"/>
    <x v="216"/>
    <x v="234"/>
    <s v="R-M-0.2"/>
    <n v="1"/>
    <x v="234"/>
    <s v="macott6y@pagesperso-orange.fr"/>
    <x v="0"/>
    <s v="Rob"/>
    <s v="M"/>
    <x v="3"/>
    <n v="2.9849999999999999"/>
    <x v="55"/>
    <x v="0"/>
    <x v="0"/>
    <x v="0"/>
  </r>
  <r>
    <s v="BQI-61647-496"/>
    <x v="217"/>
    <x v="235"/>
    <s v="E-M-1"/>
    <n v="5"/>
    <x v="235"/>
    <s v="cheaviside6z@rediff.com"/>
    <x v="0"/>
    <s v="Exc"/>
    <s v="M"/>
    <x v="0"/>
    <n v="13.75"/>
    <x v="85"/>
    <x v="1"/>
    <x v="0"/>
    <x v="0"/>
  </r>
  <r>
    <s v="IOM-51636-823"/>
    <x v="218"/>
    <x v="236"/>
    <s v="A-D-1"/>
    <n v="3"/>
    <x v="236"/>
    <n v="0"/>
    <x v="0"/>
    <s v="Ara"/>
    <s v="D"/>
    <x v="0"/>
    <n v="9.9499999999999993"/>
    <x v="44"/>
    <x v="2"/>
    <x v="2"/>
    <x v="1"/>
  </r>
  <r>
    <s v="GGD-38107-641"/>
    <x v="219"/>
    <x v="237"/>
    <s v="L-M-1"/>
    <n v="4"/>
    <x v="237"/>
    <s v="lkernan71@wsj.com"/>
    <x v="0"/>
    <s v="Lib"/>
    <s v="M"/>
    <x v="0"/>
    <n v="14.55"/>
    <x v="125"/>
    <x v="3"/>
    <x v="0"/>
    <x v="1"/>
  </r>
  <r>
    <s v="LTO-95975-728"/>
    <x v="220"/>
    <x v="238"/>
    <s v="R-L-0.5"/>
    <n v="4"/>
    <x v="238"/>
    <s v="rmclae72@dailymotion.com"/>
    <x v="2"/>
    <s v="Rob"/>
    <s v="L"/>
    <x v="1"/>
    <n v="7.169999999999999"/>
    <x v="139"/>
    <x v="0"/>
    <x v="1"/>
    <x v="1"/>
  </r>
  <r>
    <s v="IGM-84664-265"/>
    <x v="114"/>
    <x v="239"/>
    <s v="R-L-0.5"/>
    <n v="3"/>
    <x v="239"/>
    <s v="cblowfelde73@ustream.tv"/>
    <x v="0"/>
    <s v="Rob"/>
    <s v="L"/>
    <x v="1"/>
    <n v="7.169999999999999"/>
    <x v="137"/>
    <x v="0"/>
    <x v="1"/>
    <x v="1"/>
  </r>
  <r>
    <s v="SKO-45740-621"/>
    <x v="221"/>
    <x v="233"/>
    <s v="L-M-0.5"/>
    <n v="2"/>
    <x v="233"/>
    <s v="zkiffe74@cyberchimps.com"/>
    <x v="0"/>
    <s v="Lib"/>
    <s v="M"/>
    <x v="1"/>
    <n v="8.73"/>
    <x v="92"/>
    <x v="3"/>
    <x v="0"/>
    <x v="0"/>
  </r>
  <r>
    <s v="FOJ-02234-063"/>
    <x v="222"/>
    <x v="240"/>
    <s v="E-D-2.5"/>
    <n v="1"/>
    <x v="240"/>
    <s v="docalleran75@ucla.edu"/>
    <x v="0"/>
    <s v="Exc"/>
    <s v="D"/>
    <x v="2"/>
    <n v="27.945"/>
    <x v="140"/>
    <x v="1"/>
    <x v="2"/>
    <x v="0"/>
  </r>
  <r>
    <s v="MSJ-11909-468"/>
    <x v="188"/>
    <x v="241"/>
    <s v="E-D-2.5"/>
    <n v="5"/>
    <x v="241"/>
    <s v="ccromwell76@desdev.cn"/>
    <x v="0"/>
    <s v="Exc"/>
    <s v="D"/>
    <x v="2"/>
    <n v="27.945"/>
    <x v="141"/>
    <x v="1"/>
    <x v="2"/>
    <x v="1"/>
  </r>
  <r>
    <s v="DKB-78053-329"/>
    <x v="223"/>
    <x v="242"/>
    <s v="R-M-0.2"/>
    <n v="2"/>
    <x v="242"/>
    <s v="ihay77@lulu.com"/>
    <x v="2"/>
    <s v="Rob"/>
    <s v="M"/>
    <x v="3"/>
    <n v="2.9849999999999999"/>
    <x v="9"/>
    <x v="0"/>
    <x v="0"/>
    <x v="1"/>
  </r>
  <r>
    <s v="DFZ-45083-941"/>
    <x v="224"/>
    <x v="243"/>
    <s v="R-L-2.5"/>
    <n v="1"/>
    <x v="243"/>
    <s v="ttaffarello78@sciencedaily.com"/>
    <x v="0"/>
    <s v="Rob"/>
    <s v="L"/>
    <x v="2"/>
    <n v="27.484999999999996"/>
    <x v="142"/>
    <x v="0"/>
    <x v="1"/>
    <x v="0"/>
  </r>
  <r>
    <s v="OTA-40969-710"/>
    <x v="83"/>
    <x v="244"/>
    <s v="R-L-1"/>
    <n v="5"/>
    <x v="244"/>
    <s v="mcanty79@jigsy.com"/>
    <x v="0"/>
    <s v="Rob"/>
    <s v="L"/>
    <x v="0"/>
    <n v="11.95"/>
    <x v="143"/>
    <x v="0"/>
    <x v="1"/>
    <x v="0"/>
  </r>
  <r>
    <s v="GRH-45571-667"/>
    <x v="104"/>
    <x v="245"/>
    <s v="E-M-1"/>
    <n v="3"/>
    <x v="245"/>
    <s v="jkopke7a@auda.org.au"/>
    <x v="0"/>
    <s v="Exc"/>
    <s v="M"/>
    <x v="0"/>
    <n v="13.75"/>
    <x v="1"/>
    <x v="1"/>
    <x v="0"/>
    <x v="1"/>
  </r>
  <r>
    <s v="NXV-05302-067"/>
    <x v="225"/>
    <x v="246"/>
    <s v="L-M-2.5"/>
    <n v="4"/>
    <x v="246"/>
    <n v="0"/>
    <x v="0"/>
    <s v="Lib"/>
    <s v="M"/>
    <x v="2"/>
    <n v="33.464999999999996"/>
    <x v="136"/>
    <x v="3"/>
    <x v="0"/>
    <x v="1"/>
  </r>
  <r>
    <s v="VZH-86274-142"/>
    <x v="226"/>
    <x v="247"/>
    <s v="R-L-1"/>
    <n v="5"/>
    <x v="247"/>
    <n v="0"/>
    <x v="1"/>
    <s v="Rob"/>
    <s v="L"/>
    <x v="0"/>
    <n v="11.95"/>
    <x v="143"/>
    <x v="0"/>
    <x v="1"/>
    <x v="0"/>
  </r>
  <r>
    <s v="KIX-93248-135"/>
    <x v="227"/>
    <x v="248"/>
    <s v="A-D-0.5"/>
    <n v="1"/>
    <x v="248"/>
    <s v="vhellmore7d@bbc.co.uk"/>
    <x v="0"/>
    <s v="Ara"/>
    <s v="D"/>
    <x v="1"/>
    <n v="5.97"/>
    <x v="9"/>
    <x v="2"/>
    <x v="2"/>
    <x v="0"/>
  </r>
  <r>
    <s v="AXR-10962-010"/>
    <x v="180"/>
    <x v="249"/>
    <s v="E-D-1"/>
    <n v="2"/>
    <x v="249"/>
    <s v="mseawright7e@nbcnews.com"/>
    <x v="2"/>
    <s v="Exc"/>
    <s v="D"/>
    <x v="0"/>
    <n v="12.15"/>
    <x v="76"/>
    <x v="1"/>
    <x v="2"/>
    <x v="1"/>
  </r>
  <r>
    <s v="IHS-71573-008"/>
    <x v="228"/>
    <x v="250"/>
    <s v="E-D-0.2"/>
    <n v="6"/>
    <x v="250"/>
    <s v="snortheast7f@mashable.com"/>
    <x v="0"/>
    <s v="Exc"/>
    <s v="D"/>
    <x v="3"/>
    <n v="3.645"/>
    <x v="6"/>
    <x v="1"/>
    <x v="2"/>
    <x v="0"/>
  </r>
  <r>
    <s v="QTR-19001-114"/>
    <x v="229"/>
    <x v="195"/>
    <s v="A-D-1"/>
    <n v="2"/>
    <x v="195"/>
    <s v="aattwater5u@wikia.com"/>
    <x v="0"/>
    <s v="Ara"/>
    <s v="D"/>
    <x v="0"/>
    <n v="9.9499999999999993"/>
    <x v="0"/>
    <x v="2"/>
    <x v="2"/>
    <x v="0"/>
  </r>
  <r>
    <s v="WBK-62297-910"/>
    <x v="230"/>
    <x v="251"/>
    <s v="A-D-0.2"/>
    <n v="2"/>
    <x v="251"/>
    <s v="mfearon7h@reverbnation.com"/>
    <x v="0"/>
    <s v="Ara"/>
    <s v="D"/>
    <x v="3"/>
    <n v="2.9849999999999999"/>
    <x v="9"/>
    <x v="2"/>
    <x v="2"/>
    <x v="1"/>
  </r>
  <r>
    <s v="OGY-19377-175"/>
    <x v="231"/>
    <x v="252"/>
    <s v="E-D-0.5"/>
    <n v="1"/>
    <x v="252"/>
    <n v="0"/>
    <x v="1"/>
    <s v="Exc"/>
    <s v="D"/>
    <x v="1"/>
    <n v="7.29"/>
    <x v="35"/>
    <x v="1"/>
    <x v="2"/>
    <x v="0"/>
  </r>
  <r>
    <s v="ESR-66651-814"/>
    <x v="80"/>
    <x v="253"/>
    <s v="A-D-0.2"/>
    <n v="4"/>
    <x v="253"/>
    <s v="jsisneros7j@a8.net"/>
    <x v="0"/>
    <s v="Ara"/>
    <s v="D"/>
    <x v="3"/>
    <n v="2.9849999999999999"/>
    <x v="22"/>
    <x v="2"/>
    <x v="2"/>
    <x v="0"/>
  </r>
  <r>
    <s v="CPX-46916-770"/>
    <x v="232"/>
    <x v="254"/>
    <s v="R-L-1"/>
    <n v="6"/>
    <x v="254"/>
    <s v="zcarlson7k@bigcartel.com"/>
    <x v="1"/>
    <s v="Rob"/>
    <s v="L"/>
    <x v="0"/>
    <n v="11.95"/>
    <x v="144"/>
    <x v="0"/>
    <x v="1"/>
    <x v="0"/>
  </r>
  <r>
    <s v="MDC-03318-645"/>
    <x v="233"/>
    <x v="255"/>
    <s v="A-L-0.2"/>
    <n v="2"/>
    <x v="255"/>
    <s v="wmaddox7l@timesonline.co.uk"/>
    <x v="0"/>
    <s v="Ara"/>
    <s v="L"/>
    <x v="3"/>
    <n v="3.8849999999999998"/>
    <x v="41"/>
    <x v="2"/>
    <x v="1"/>
    <x v="1"/>
  </r>
  <r>
    <s v="SFF-86059-407"/>
    <x v="234"/>
    <x v="256"/>
    <s v="A-M-2.5"/>
    <n v="1"/>
    <x v="256"/>
    <s v="dhedlestone7m@craigslist.org"/>
    <x v="0"/>
    <s v="Ara"/>
    <s v="M"/>
    <x v="2"/>
    <n v="25.874999999999996"/>
    <x v="145"/>
    <x v="2"/>
    <x v="0"/>
    <x v="1"/>
  </r>
  <r>
    <s v="SCL-94540-788"/>
    <x v="235"/>
    <x v="257"/>
    <s v="E-L-2.5"/>
    <n v="6"/>
    <x v="257"/>
    <s v="tcrowthe7n@europa.eu"/>
    <x v="0"/>
    <s v="Exc"/>
    <s v="L"/>
    <x v="2"/>
    <n v="34.154999999999994"/>
    <x v="106"/>
    <x v="1"/>
    <x v="1"/>
    <x v="1"/>
  </r>
  <r>
    <s v="HVU-21634-076"/>
    <x v="236"/>
    <x v="258"/>
    <s v="R-L-2.5"/>
    <n v="4"/>
    <x v="258"/>
    <s v="dbury7o@tinyurl.com"/>
    <x v="1"/>
    <s v="Rob"/>
    <s v="L"/>
    <x v="2"/>
    <n v="27.484999999999996"/>
    <x v="108"/>
    <x v="0"/>
    <x v="1"/>
    <x v="0"/>
  </r>
  <r>
    <s v="XUS-73326-418"/>
    <x v="237"/>
    <x v="259"/>
    <s v="E-L-1"/>
    <n v="6"/>
    <x v="259"/>
    <s v="gbroadbear7p@omniture.com"/>
    <x v="0"/>
    <s v="Exc"/>
    <s v="L"/>
    <x v="0"/>
    <n v="14.85"/>
    <x v="146"/>
    <x v="1"/>
    <x v="1"/>
    <x v="1"/>
  </r>
  <r>
    <s v="XWD-18933-006"/>
    <x v="238"/>
    <x v="260"/>
    <s v="A-L-0.2"/>
    <n v="2"/>
    <x v="260"/>
    <s v="epalfrey7q@devhub.com"/>
    <x v="0"/>
    <s v="Ara"/>
    <s v="L"/>
    <x v="3"/>
    <n v="3.8849999999999998"/>
    <x v="41"/>
    <x v="2"/>
    <x v="1"/>
    <x v="0"/>
  </r>
  <r>
    <s v="HPD-65272-772"/>
    <x v="52"/>
    <x v="261"/>
    <s v="L-M-2.5"/>
    <n v="1"/>
    <x v="261"/>
    <s v="pmetrick7r@rakuten.co.jp"/>
    <x v="0"/>
    <s v="Lib"/>
    <s v="M"/>
    <x v="2"/>
    <n v="33.464999999999996"/>
    <x v="116"/>
    <x v="3"/>
    <x v="0"/>
    <x v="0"/>
  </r>
  <r>
    <s v="JEG-93140-224"/>
    <x v="146"/>
    <x v="262"/>
    <s v="E-M-0.5"/>
    <n v="5"/>
    <x v="262"/>
    <n v="0"/>
    <x v="0"/>
    <s v="Exc"/>
    <s v="M"/>
    <x v="1"/>
    <n v="8.25"/>
    <x v="1"/>
    <x v="1"/>
    <x v="0"/>
    <x v="0"/>
  </r>
  <r>
    <s v="NNH-62058-950"/>
    <x v="239"/>
    <x v="263"/>
    <s v="E-L-1"/>
    <n v="4"/>
    <x v="263"/>
    <s v="kkarby7t@sbwire.com"/>
    <x v="0"/>
    <s v="Exc"/>
    <s v="L"/>
    <x v="0"/>
    <n v="14.85"/>
    <x v="48"/>
    <x v="1"/>
    <x v="1"/>
    <x v="0"/>
  </r>
  <r>
    <s v="LTD-71429-845"/>
    <x v="240"/>
    <x v="264"/>
    <s v="A-L-0.5"/>
    <n v="1"/>
    <x v="264"/>
    <s v="fcrumpe7u@ftc.gov"/>
    <x v="2"/>
    <s v="Ara"/>
    <s v="L"/>
    <x v="1"/>
    <n v="7.77"/>
    <x v="41"/>
    <x v="2"/>
    <x v="1"/>
    <x v="1"/>
  </r>
  <r>
    <s v="MPV-26985-215"/>
    <x v="241"/>
    <x v="265"/>
    <s v="R-D-0.5"/>
    <n v="1"/>
    <x v="265"/>
    <s v="achatto7v@sakura.ne.jp"/>
    <x v="2"/>
    <s v="Rob"/>
    <s v="D"/>
    <x v="1"/>
    <n v="5.3699999999999992"/>
    <x v="147"/>
    <x v="0"/>
    <x v="2"/>
    <x v="0"/>
  </r>
  <r>
    <s v="IYO-10245-081"/>
    <x v="242"/>
    <x v="266"/>
    <s v="E-M-2.5"/>
    <n v="3"/>
    <x v="266"/>
    <n v="0"/>
    <x v="0"/>
    <s v="Exc"/>
    <s v="M"/>
    <x v="2"/>
    <n v="31.624999999999996"/>
    <x v="88"/>
    <x v="1"/>
    <x v="0"/>
    <x v="1"/>
  </r>
  <r>
    <s v="BYZ-39669-954"/>
    <x v="243"/>
    <x v="267"/>
    <s v="L-L-2.5"/>
    <n v="1"/>
    <x v="267"/>
    <n v="0"/>
    <x v="0"/>
    <s v="Lib"/>
    <s v="L"/>
    <x v="2"/>
    <n v="36.454999999999998"/>
    <x v="133"/>
    <x v="3"/>
    <x v="1"/>
    <x v="1"/>
  </r>
  <r>
    <s v="EFB-72860-209"/>
    <x v="244"/>
    <x v="268"/>
    <s v="A-M-0.2"/>
    <n v="4"/>
    <x v="268"/>
    <s v="bmergue7y@umn.edu"/>
    <x v="0"/>
    <s v="Ara"/>
    <s v="M"/>
    <x v="3"/>
    <n v="3.375"/>
    <x v="72"/>
    <x v="2"/>
    <x v="0"/>
    <x v="0"/>
  </r>
  <r>
    <s v="GMM-72397-378"/>
    <x v="245"/>
    <x v="269"/>
    <s v="R-L-0.2"/>
    <n v="4"/>
    <x v="269"/>
    <s v="kpatise7z@jigsy.com"/>
    <x v="0"/>
    <s v="Rob"/>
    <s v="L"/>
    <x v="3"/>
    <n v="3.5849999999999995"/>
    <x v="79"/>
    <x v="0"/>
    <x v="1"/>
    <x v="1"/>
  </r>
  <r>
    <s v="LYP-52345-883"/>
    <x v="246"/>
    <x v="270"/>
    <s v="E-M-0.5"/>
    <n v="1"/>
    <x v="270"/>
    <n v="0"/>
    <x v="1"/>
    <s v="Exc"/>
    <s v="M"/>
    <x v="1"/>
    <n v="8.25"/>
    <x v="112"/>
    <x v="1"/>
    <x v="0"/>
    <x v="0"/>
  </r>
  <r>
    <s v="DFK-35846-692"/>
    <x v="247"/>
    <x v="271"/>
    <s v="R-D-0.2"/>
    <n v="5"/>
    <x v="271"/>
    <n v="0"/>
    <x v="0"/>
    <s v="Rob"/>
    <s v="D"/>
    <x v="3"/>
    <n v="2.6849999999999996"/>
    <x v="148"/>
    <x v="0"/>
    <x v="2"/>
    <x v="0"/>
  </r>
  <r>
    <s v="XAH-93337-609"/>
    <x v="248"/>
    <x v="272"/>
    <s v="A-D-1"/>
    <n v="5"/>
    <x v="272"/>
    <s v="dduke82@vkontakte.ru"/>
    <x v="0"/>
    <s v="Ara"/>
    <s v="D"/>
    <x v="0"/>
    <n v="9.9499999999999993"/>
    <x v="12"/>
    <x v="2"/>
    <x v="2"/>
    <x v="1"/>
  </r>
  <r>
    <s v="QKA-72582-644"/>
    <x v="249"/>
    <x v="273"/>
    <s v="E-M-0.5"/>
    <n v="2"/>
    <x v="273"/>
    <n v="0"/>
    <x v="1"/>
    <s v="Exc"/>
    <s v="M"/>
    <x v="1"/>
    <n v="8.25"/>
    <x v="38"/>
    <x v="1"/>
    <x v="0"/>
    <x v="1"/>
  </r>
  <r>
    <s v="ZDK-84567-102"/>
    <x v="250"/>
    <x v="274"/>
    <s v="A-D-0.5"/>
    <n v="3"/>
    <x v="274"/>
    <s v="ihussey84@mapy.cz"/>
    <x v="0"/>
    <s v="Ara"/>
    <s v="D"/>
    <x v="1"/>
    <n v="5.97"/>
    <x v="8"/>
    <x v="2"/>
    <x v="2"/>
    <x v="1"/>
  </r>
  <r>
    <s v="WAV-38301-984"/>
    <x v="251"/>
    <x v="275"/>
    <s v="A-D-0.5"/>
    <n v="5"/>
    <x v="275"/>
    <s v="cpinkerton85@upenn.edu"/>
    <x v="0"/>
    <s v="Ara"/>
    <s v="D"/>
    <x v="1"/>
    <n v="5.97"/>
    <x v="44"/>
    <x v="2"/>
    <x v="2"/>
    <x v="1"/>
  </r>
  <r>
    <s v="KZR-33023-209"/>
    <x v="177"/>
    <x v="276"/>
    <s v="E-L-1"/>
    <n v="3"/>
    <x v="276"/>
    <n v="0"/>
    <x v="0"/>
    <s v="Exc"/>
    <s v="L"/>
    <x v="0"/>
    <n v="14.85"/>
    <x v="69"/>
    <x v="1"/>
    <x v="1"/>
    <x v="1"/>
  </r>
  <r>
    <s v="ULM-49433-003"/>
    <x v="252"/>
    <x v="277"/>
    <s v="E-M-1"/>
    <n v="2"/>
    <x v="277"/>
    <n v="0"/>
    <x v="0"/>
    <s v="Exc"/>
    <s v="M"/>
    <x v="0"/>
    <n v="13.75"/>
    <x v="3"/>
    <x v="1"/>
    <x v="0"/>
    <x v="1"/>
  </r>
  <r>
    <s v="SIB-83254-136"/>
    <x v="253"/>
    <x v="278"/>
    <s v="R-M-0.5"/>
    <n v="6"/>
    <x v="278"/>
    <s v="dvizor88@furl.net"/>
    <x v="0"/>
    <s v="Rob"/>
    <s v="M"/>
    <x v="1"/>
    <n v="5.97"/>
    <x v="27"/>
    <x v="0"/>
    <x v="0"/>
    <x v="0"/>
  </r>
  <r>
    <s v="NOK-50349-551"/>
    <x v="254"/>
    <x v="279"/>
    <s v="R-D-0.5"/>
    <n v="3"/>
    <x v="279"/>
    <s v="esedgebeer89@oaic.gov.au"/>
    <x v="0"/>
    <s v="Rob"/>
    <s v="D"/>
    <x v="1"/>
    <n v="5.3699999999999992"/>
    <x v="103"/>
    <x v="0"/>
    <x v="2"/>
    <x v="0"/>
  </r>
  <r>
    <s v="YIS-96268-844"/>
    <x v="227"/>
    <x v="280"/>
    <s v="E-L-0.2"/>
    <n v="6"/>
    <x v="280"/>
    <s v="klestrange8a@lulu.com"/>
    <x v="0"/>
    <s v="Exc"/>
    <s v="L"/>
    <x v="3"/>
    <n v="4.4550000000000001"/>
    <x v="149"/>
    <x v="1"/>
    <x v="1"/>
    <x v="0"/>
  </r>
  <r>
    <s v="CXI-04933-855"/>
    <x v="110"/>
    <x v="281"/>
    <s v="E-L-2.5"/>
    <n v="6"/>
    <x v="281"/>
    <s v="ltanti8b@techcrunch.com"/>
    <x v="0"/>
    <s v="Exc"/>
    <s v="L"/>
    <x v="2"/>
    <n v="34.154999999999994"/>
    <x v="106"/>
    <x v="1"/>
    <x v="1"/>
    <x v="0"/>
  </r>
  <r>
    <s v="IZU-90429-382"/>
    <x v="182"/>
    <x v="282"/>
    <s v="A-L-1"/>
    <n v="3"/>
    <x v="282"/>
    <s v="ade8c@1und1.de"/>
    <x v="0"/>
    <s v="Ara"/>
    <s v="L"/>
    <x v="0"/>
    <n v="12.95"/>
    <x v="5"/>
    <x v="2"/>
    <x v="1"/>
    <x v="0"/>
  </r>
  <r>
    <s v="WIT-40912-783"/>
    <x v="255"/>
    <x v="283"/>
    <s v="L-D-0.2"/>
    <n v="4"/>
    <x v="283"/>
    <s v="tjedrachowicz8d@acquirethisname.com"/>
    <x v="0"/>
    <s v="Lib"/>
    <s v="D"/>
    <x v="3"/>
    <n v="3.8849999999999998"/>
    <x v="42"/>
    <x v="3"/>
    <x v="2"/>
    <x v="0"/>
  </r>
  <r>
    <s v="PSD-57291-590"/>
    <x v="256"/>
    <x v="284"/>
    <s v="A-M-0.5"/>
    <n v="1"/>
    <x v="284"/>
    <s v="pstonner8e@moonfruit.com"/>
    <x v="0"/>
    <s v="Ara"/>
    <s v="M"/>
    <x v="1"/>
    <n v="6.75"/>
    <x v="52"/>
    <x v="2"/>
    <x v="0"/>
    <x v="1"/>
  </r>
  <r>
    <s v="GOI-41472-677"/>
    <x v="3"/>
    <x v="285"/>
    <s v="E-D-2.5"/>
    <n v="4"/>
    <x v="285"/>
    <s v="dtingly8f@goo.ne.jp"/>
    <x v="0"/>
    <s v="Exc"/>
    <s v="D"/>
    <x v="2"/>
    <n v="27.945"/>
    <x v="150"/>
    <x v="1"/>
    <x v="2"/>
    <x v="0"/>
  </r>
  <r>
    <s v="KTX-17944-494"/>
    <x v="257"/>
    <x v="286"/>
    <s v="A-L-0.2"/>
    <n v="1"/>
    <x v="286"/>
    <s v="crushe8n@about.me"/>
    <x v="0"/>
    <s v="Ara"/>
    <s v="L"/>
    <x v="3"/>
    <n v="3.8849999999999998"/>
    <x v="84"/>
    <x v="2"/>
    <x v="1"/>
    <x v="0"/>
  </r>
  <r>
    <s v="RDM-99811-230"/>
    <x v="258"/>
    <x v="287"/>
    <s v="L-M-0.2"/>
    <n v="5"/>
    <x v="287"/>
    <s v="bchecci8h@usa.gov"/>
    <x v="2"/>
    <s v="Lib"/>
    <s v="M"/>
    <x v="3"/>
    <n v="4.3650000000000002"/>
    <x v="26"/>
    <x v="3"/>
    <x v="0"/>
    <x v="1"/>
  </r>
  <r>
    <s v="JTU-55897-581"/>
    <x v="259"/>
    <x v="288"/>
    <s v="R-M-0.2"/>
    <n v="5"/>
    <x v="288"/>
    <s v="jbagot8i@mac.com"/>
    <x v="0"/>
    <s v="Rob"/>
    <s v="M"/>
    <x v="3"/>
    <n v="2.9849999999999999"/>
    <x v="128"/>
    <x v="0"/>
    <x v="0"/>
    <x v="1"/>
  </r>
  <r>
    <s v="CRK-07584-240"/>
    <x v="260"/>
    <x v="289"/>
    <s v="A-M-1"/>
    <n v="3"/>
    <x v="289"/>
    <s v="ebeeble8j@soundcloud.com"/>
    <x v="0"/>
    <s v="Ara"/>
    <s v="M"/>
    <x v="0"/>
    <n v="11.25"/>
    <x v="65"/>
    <x v="2"/>
    <x v="0"/>
    <x v="0"/>
  </r>
  <r>
    <s v="MKE-75518-399"/>
    <x v="261"/>
    <x v="290"/>
    <s v="A-M-1"/>
    <n v="3"/>
    <x v="290"/>
    <s v="cfluin8k@flickr.com"/>
    <x v="2"/>
    <s v="Ara"/>
    <s v="M"/>
    <x v="0"/>
    <n v="11.25"/>
    <x v="65"/>
    <x v="2"/>
    <x v="0"/>
    <x v="1"/>
  </r>
  <r>
    <s v="AEL-51169-725"/>
    <x v="262"/>
    <x v="291"/>
    <s v="L-M-0.2"/>
    <n v="6"/>
    <x v="291"/>
    <s v="ebletsor8l@vinaora.com"/>
    <x v="0"/>
    <s v="Lib"/>
    <s v="M"/>
    <x v="3"/>
    <n v="4.3650000000000002"/>
    <x v="50"/>
    <x v="3"/>
    <x v="0"/>
    <x v="0"/>
  </r>
  <r>
    <s v="ZGM-83108-823"/>
    <x v="263"/>
    <x v="292"/>
    <s v="E-L-1"/>
    <n v="1"/>
    <x v="292"/>
    <s v="pbrydell8m@bloglovin.com"/>
    <x v="1"/>
    <s v="Exc"/>
    <s v="L"/>
    <x v="0"/>
    <n v="14.85"/>
    <x v="151"/>
    <x v="1"/>
    <x v="1"/>
    <x v="1"/>
  </r>
  <r>
    <s v="JBP-78754-392"/>
    <x v="212"/>
    <x v="286"/>
    <s v="E-M-2.5"/>
    <n v="6"/>
    <x v="286"/>
    <s v="crushe8n@about.me"/>
    <x v="0"/>
    <s v="Exc"/>
    <s v="M"/>
    <x v="2"/>
    <n v="31.624999999999996"/>
    <x v="152"/>
    <x v="1"/>
    <x v="0"/>
    <x v="0"/>
  </r>
  <r>
    <s v="RNH-54912-747"/>
    <x v="187"/>
    <x v="293"/>
    <s v="R-M-0.5"/>
    <n v="1"/>
    <x v="293"/>
    <s v="nleethem8o@mac.com"/>
    <x v="0"/>
    <s v="Rob"/>
    <s v="M"/>
    <x v="1"/>
    <n v="5.97"/>
    <x v="9"/>
    <x v="0"/>
    <x v="0"/>
    <x v="0"/>
  </r>
  <r>
    <s v="JDS-33440-914"/>
    <x v="248"/>
    <x v="294"/>
    <s v="R-M-1"/>
    <n v="3"/>
    <x v="294"/>
    <s v="anesfield8p@people.com.cn"/>
    <x v="2"/>
    <s v="Rob"/>
    <s v="M"/>
    <x v="0"/>
    <n v="9.9499999999999993"/>
    <x v="44"/>
    <x v="0"/>
    <x v="0"/>
    <x v="0"/>
  </r>
  <r>
    <s v="SYX-48878-182"/>
    <x v="264"/>
    <x v="295"/>
    <s v="R-D-1"/>
    <n v="5"/>
    <x v="295"/>
    <n v="0"/>
    <x v="0"/>
    <s v="Rob"/>
    <s v="D"/>
    <x v="0"/>
    <n v="8.9499999999999993"/>
    <x v="153"/>
    <x v="0"/>
    <x v="2"/>
    <x v="1"/>
  </r>
  <r>
    <s v="ZGD-94763-868"/>
    <x v="265"/>
    <x v="296"/>
    <s v="E-L-2.5"/>
    <n v="1"/>
    <x v="296"/>
    <s v="mbrockway8r@ibm.com"/>
    <x v="0"/>
    <s v="Exc"/>
    <s v="L"/>
    <x v="2"/>
    <n v="34.154999999999994"/>
    <x v="107"/>
    <x v="1"/>
    <x v="1"/>
    <x v="0"/>
  </r>
  <r>
    <s v="CZY-70361-485"/>
    <x v="266"/>
    <x v="297"/>
    <s v="E-L-2.5"/>
    <n v="6"/>
    <x v="297"/>
    <s v="nlush8s@dedecms.com"/>
    <x v="1"/>
    <s v="Exc"/>
    <s v="L"/>
    <x v="2"/>
    <n v="34.154999999999994"/>
    <x v="106"/>
    <x v="1"/>
    <x v="1"/>
    <x v="1"/>
  </r>
  <r>
    <s v="RJR-12175-899"/>
    <x v="267"/>
    <x v="298"/>
    <s v="E-D-0.5"/>
    <n v="3"/>
    <x v="298"/>
    <s v="smcmillian8t@csmonitor.com"/>
    <x v="0"/>
    <s v="Exc"/>
    <s v="D"/>
    <x v="1"/>
    <n v="7.29"/>
    <x v="6"/>
    <x v="1"/>
    <x v="2"/>
    <x v="1"/>
  </r>
  <r>
    <s v="ELB-07929-407"/>
    <x v="204"/>
    <x v="299"/>
    <s v="A-M-2.5"/>
    <n v="2"/>
    <x v="299"/>
    <s v="tbennison8u@google.cn"/>
    <x v="0"/>
    <s v="Ara"/>
    <s v="M"/>
    <x v="2"/>
    <n v="25.874999999999996"/>
    <x v="95"/>
    <x v="2"/>
    <x v="0"/>
    <x v="0"/>
  </r>
  <r>
    <s v="UJQ-54441-340"/>
    <x v="268"/>
    <x v="300"/>
    <s v="E-M-0.2"/>
    <n v="2"/>
    <x v="300"/>
    <s v="gtweed8v@yolasite.com"/>
    <x v="0"/>
    <s v="Exc"/>
    <s v="M"/>
    <x v="3"/>
    <n v="4.125"/>
    <x v="112"/>
    <x v="1"/>
    <x v="0"/>
    <x v="0"/>
  </r>
  <r>
    <s v="UJQ-54441-340"/>
    <x v="268"/>
    <x v="300"/>
    <s v="A-L-0.2"/>
    <n v="5"/>
    <x v="300"/>
    <s v="gtweed8v@yolasite.com"/>
    <x v="0"/>
    <s v="Ara"/>
    <s v="L"/>
    <x v="3"/>
    <n v="3.8849999999999998"/>
    <x v="117"/>
    <x v="2"/>
    <x v="1"/>
    <x v="0"/>
  </r>
  <r>
    <s v="OWY-43108-475"/>
    <x v="269"/>
    <x v="301"/>
    <s v="A-M-0.2"/>
    <n v="6"/>
    <x v="301"/>
    <s v="ggoggin8x@wix.com"/>
    <x v="1"/>
    <s v="Ara"/>
    <s v="M"/>
    <x v="3"/>
    <n v="3.375"/>
    <x v="16"/>
    <x v="2"/>
    <x v="0"/>
    <x v="0"/>
  </r>
  <r>
    <s v="GNO-91911-159"/>
    <x v="145"/>
    <x v="302"/>
    <s v="L-D-0.5"/>
    <n v="3"/>
    <x v="302"/>
    <s v="sjeyness8y@biglobe.ne.jp"/>
    <x v="1"/>
    <s v="Lib"/>
    <s v="D"/>
    <x v="1"/>
    <n v="7.77"/>
    <x v="102"/>
    <x v="3"/>
    <x v="2"/>
    <x v="1"/>
  </r>
  <r>
    <s v="CNY-06284-066"/>
    <x v="270"/>
    <x v="303"/>
    <s v="E-D-0.2"/>
    <n v="5"/>
    <x v="303"/>
    <s v="dbonhome8z@shinystat.com"/>
    <x v="0"/>
    <s v="Exc"/>
    <s v="D"/>
    <x v="3"/>
    <n v="3.645"/>
    <x v="94"/>
    <x v="1"/>
    <x v="2"/>
    <x v="0"/>
  </r>
  <r>
    <s v="OQS-46321-904"/>
    <x v="271"/>
    <x v="304"/>
    <s v="E-M-1"/>
    <n v="1"/>
    <x v="304"/>
    <n v="0"/>
    <x v="0"/>
    <s v="Exc"/>
    <s v="M"/>
    <x v="0"/>
    <n v="13.75"/>
    <x v="154"/>
    <x v="1"/>
    <x v="0"/>
    <x v="1"/>
  </r>
  <r>
    <s v="IBW-87442-480"/>
    <x v="272"/>
    <x v="305"/>
    <s v="A-L-2.5"/>
    <n v="1"/>
    <x v="305"/>
    <s v="tle91@epa.gov"/>
    <x v="0"/>
    <s v="Ara"/>
    <s v="L"/>
    <x v="2"/>
    <n v="29.784999999999997"/>
    <x v="91"/>
    <x v="2"/>
    <x v="1"/>
    <x v="0"/>
  </r>
  <r>
    <s v="DGZ-82537-477"/>
    <x v="252"/>
    <x v="306"/>
    <s v="R-D-1"/>
    <n v="5"/>
    <x v="306"/>
    <n v="0"/>
    <x v="0"/>
    <s v="Rob"/>
    <s v="D"/>
    <x v="0"/>
    <n v="8.9499999999999993"/>
    <x v="153"/>
    <x v="0"/>
    <x v="2"/>
    <x v="1"/>
  </r>
  <r>
    <s v="LPS-39089-432"/>
    <x v="273"/>
    <x v="307"/>
    <s v="R-D-1"/>
    <n v="5"/>
    <x v="307"/>
    <s v="balldridge93@yandex.ru"/>
    <x v="0"/>
    <s v="Rob"/>
    <s v="D"/>
    <x v="0"/>
    <n v="8.9499999999999993"/>
    <x v="153"/>
    <x v="0"/>
    <x v="2"/>
    <x v="0"/>
  </r>
  <r>
    <s v="MQU-86100-929"/>
    <x v="274"/>
    <x v="308"/>
    <s v="L-L-0.5"/>
    <n v="4"/>
    <x v="308"/>
    <n v="0"/>
    <x v="0"/>
    <s v="Lib"/>
    <s v="L"/>
    <x v="1"/>
    <n v="9.51"/>
    <x v="82"/>
    <x v="3"/>
    <x v="1"/>
    <x v="0"/>
  </r>
  <r>
    <s v="XUR-14132-391"/>
    <x v="275"/>
    <x v="309"/>
    <s v="R-D-0.5"/>
    <n v="4"/>
    <x v="309"/>
    <s v="lgoodger95@guardian.co.uk"/>
    <x v="0"/>
    <s v="Rob"/>
    <s v="D"/>
    <x v="1"/>
    <n v="5.3699999999999992"/>
    <x v="155"/>
    <x v="0"/>
    <x v="2"/>
    <x v="0"/>
  </r>
  <r>
    <s v="OVI-27064-381"/>
    <x v="276"/>
    <x v="298"/>
    <s v="R-D-0.5"/>
    <n v="3"/>
    <x v="298"/>
    <s v="smcmillian8t@csmonitor.com"/>
    <x v="0"/>
    <s v="Rob"/>
    <s v="D"/>
    <x v="1"/>
    <n v="5.3699999999999992"/>
    <x v="103"/>
    <x v="0"/>
    <x v="2"/>
    <x v="1"/>
  </r>
  <r>
    <s v="SHP-17012-870"/>
    <x v="277"/>
    <x v="310"/>
    <s v="R-M-2.5"/>
    <n v="1"/>
    <x v="310"/>
    <s v="cdrewett97@wikipedia.org"/>
    <x v="0"/>
    <s v="Rob"/>
    <s v="M"/>
    <x v="2"/>
    <n v="22.884999999999998"/>
    <x v="156"/>
    <x v="0"/>
    <x v="0"/>
    <x v="0"/>
  </r>
  <r>
    <s v="FDY-03414-903"/>
    <x v="278"/>
    <x v="311"/>
    <s v="A-D-0.5"/>
    <n v="3"/>
    <x v="311"/>
    <s v="qparsons98@blogtalkradio.com"/>
    <x v="0"/>
    <s v="Ara"/>
    <s v="D"/>
    <x v="1"/>
    <n v="5.97"/>
    <x v="8"/>
    <x v="2"/>
    <x v="2"/>
    <x v="0"/>
  </r>
  <r>
    <s v="WXT-85291-143"/>
    <x v="279"/>
    <x v="312"/>
    <s v="R-M-0.5"/>
    <n v="4"/>
    <x v="312"/>
    <s v="vceely99@auda.org.au"/>
    <x v="0"/>
    <s v="Rob"/>
    <s v="M"/>
    <x v="1"/>
    <n v="5.97"/>
    <x v="86"/>
    <x v="0"/>
    <x v="0"/>
    <x v="0"/>
  </r>
  <r>
    <s v="QNP-18893-547"/>
    <x v="280"/>
    <x v="313"/>
    <s v="R-L-1"/>
    <n v="5"/>
    <x v="313"/>
    <n v="0"/>
    <x v="0"/>
    <s v="Rob"/>
    <s v="L"/>
    <x v="0"/>
    <n v="11.95"/>
    <x v="143"/>
    <x v="0"/>
    <x v="1"/>
    <x v="1"/>
  </r>
  <r>
    <s v="DOH-92927-530"/>
    <x v="281"/>
    <x v="314"/>
    <s v="L-L-0.2"/>
    <n v="6"/>
    <x v="314"/>
    <s v="cvasiliev9b@discuz.net"/>
    <x v="0"/>
    <s v="Lib"/>
    <s v="L"/>
    <x v="3"/>
    <n v="4.7549999999999999"/>
    <x v="32"/>
    <x v="3"/>
    <x v="1"/>
    <x v="0"/>
  </r>
  <r>
    <s v="HGJ-82768-173"/>
    <x v="282"/>
    <x v="315"/>
    <s v="A-M-1"/>
    <n v="4"/>
    <x v="315"/>
    <s v="tomoylan9c@liveinternet.ru"/>
    <x v="2"/>
    <s v="Ara"/>
    <s v="M"/>
    <x v="0"/>
    <n v="11.25"/>
    <x v="157"/>
    <x v="2"/>
    <x v="0"/>
    <x v="1"/>
  </r>
  <r>
    <s v="YPT-95383-088"/>
    <x v="283"/>
    <x v="306"/>
    <s v="E-D-2.5"/>
    <n v="2"/>
    <x v="306"/>
    <n v="0"/>
    <x v="0"/>
    <s v="Exc"/>
    <s v="D"/>
    <x v="2"/>
    <n v="27.945"/>
    <x v="158"/>
    <x v="1"/>
    <x v="2"/>
    <x v="1"/>
  </r>
  <r>
    <s v="OYH-16533-767"/>
    <x v="284"/>
    <x v="316"/>
    <s v="E-L-1"/>
    <n v="4"/>
    <x v="316"/>
    <s v="wfetherston9e@constantcontact.com"/>
    <x v="0"/>
    <s v="Exc"/>
    <s v="L"/>
    <x v="0"/>
    <n v="14.85"/>
    <x v="48"/>
    <x v="1"/>
    <x v="1"/>
    <x v="1"/>
  </r>
  <r>
    <s v="DWW-28642-549"/>
    <x v="285"/>
    <x v="317"/>
    <s v="E-D-0.2"/>
    <n v="2"/>
    <x v="317"/>
    <s v="erasmus9f@techcrunch.com"/>
    <x v="0"/>
    <s v="Exc"/>
    <s v="D"/>
    <x v="3"/>
    <n v="3.645"/>
    <x v="35"/>
    <x v="1"/>
    <x v="2"/>
    <x v="0"/>
  </r>
  <r>
    <s v="CGO-79583-871"/>
    <x v="286"/>
    <x v="318"/>
    <s v="E-D-0.5"/>
    <n v="1"/>
    <x v="318"/>
    <s v="wgiorgioni9g@wikipedia.org"/>
    <x v="0"/>
    <s v="Exc"/>
    <s v="D"/>
    <x v="1"/>
    <n v="7.29"/>
    <x v="35"/>
    <x v="1"/>
    <x v="2"/>
    <x v="0"/>
  </r>
  <r>
    <s v="TFY-52090-386"/>
    <x v="287"/>
    <x v="319"/>
    <s v="E-L-0.5"/>
    <n v="2"/>
    <x v="319"/>
    <s v="lscargle9h@myspace.com"/>
    <x v="0"/>
    <s v="Exc"/>
    <s v="L"/>
    <x v="1"/>
    <n v="8.91"/>
    <x v="58"/>
    <x v="1"/>
    <x v="1"/>
    <x v="1"/>
  </r>
  <r>
    <s v="TFY-52090-386"/>
    <x v="287"/>
    <x v="319"/>
    <s v="L-D-0.5"/>
    <n v="5"/>
    <x v="319"/>
    <s v="lscargle9h@myspace.com"/>
    <x v="0"/>
    <s v="Lib"/>
    <s v="D"/>
    <x v="1"/>
    <n v="7.77"/>
    <x v="5"/>
    <x v="3"/>
    <x v="2"/>
    <x v="1"/>
  </r>
  <r>
    <s v="NYY-73968-094"/>
    <x v="288"/>
    <x v="320"/>
    <s v="R-D-0.5"/>
    <n v="6"/>
    <x v="320"/>
    <s v="nclimance9j@europa.eu"/>
    <x v="0"/>
    <s v="Rob"/>
    <s v="D"/>
    <x v="1"/>
    <n v="5.3699999999999992"/>
    <x v="111"/>
    <x v="0"/>
    <x v="2"/>
    <x v="1"/>
  </r>
  <r>
    <s v="QEY-71761-460"/>
    <x v="250"/>
    <x v="321"/>
    <s v="R-M-1"/>
    <n v="2"/>
    <x v="321"/>
    <n v="0"/>
    <x v="1"/>
    <s v="Rob"/>
    <s v="M"/>
    <x v="0"/>
    <n v="9.9499999999999993"/>
    <x v="0"/>
    <x v="0"/>
    <x v="0"/>
    <x v="0"/>
  </r>
  <r>
    <s v="GKQ-82603-910"/>
    <x v="289"/>
    <x v="322"/>
    <s v="R-L-1"/>
    <n v="5"/>
    <x v="322"/>
    <s v="asnazle9l@oracle.com"/>
    <x v="0"/>
    <s v="Rob"/>
    <s v="L"/>
    <x v="0"/>
    <n v="11.95"/>
    <x v="143"/>
    <x v="0"/>
    <x v="1"/>
    <x v="1"/>
  </r>
  <r>
    <s v="IOB-32673-745"/>
    <x v="290"/>
    <x v="323"/>
    <s v="A-L-0.5"/>
    <n v="3"/>
    <x v="323"/>
    <s v="rworg9m@arstechnica.com"/>
    <x v="0"/>
    <s v="Ara"/>
    <s v="L"/>
    <x v="1"/>
    <n v="7.77"/>
    <x v="102"/>
    <x v="2"/>
    <x v="1"/>
    <x v="0"/>
  </r>
  <r>
    <s v="YAU-98893-150"/>
    <x v="291"/>
    <x v="324"/>
    <s v="L-M-1"/>
    <n v="3"/>
    <x v="324"/>
    <s v="ldanes9n@umn.edu"/>
    <x v="0"/>
    <s v="Lib"/>
    <s v="M"/>
    <x v="0"/>
    <n v="14.55"/>
    <x v="34"/>
    <x v="3"/>
    <x v="0"/>
    <x v="1"/>
  </r>
  <r>
    <s v="XNM-14163-951"/>
    <x v="292"/>
    <x v="325"/>
    <s v="E-L-2.5"/>
    <n v="6"/>
    <x v="325"/>
    <s v="skeynd9o@narod.ru"/>
    <x v="0"/>
    <s v="Exc"/>
    <s v="L"/>
    <x v="2"/>
    <n v="34.154999999999994"/>
    <x v="106"/>
    <x v="1"/>
    <x v="1"/>
    <x v="1"/>
  </r>
  <r>
    <s v="JPB-45297-000"/>
    <x v="293"/>
    <x v="326"/>
    <s v="R-L-0.2"/>
    <n v="4"/>
    <x v="326"/>
    <s v="ddaveridge9p@arstechnica.com"/>
    <x v="0"/>
    <s v="Rob"/>
    <s v="L"/>
    <x v="3"/>
    <n v="3.5849999999999995"/>
    <x v="79"/>
    <x v="0"/>
    <x v="1"/>
    <x v="1"/>
  </r>
  <r>
    <s v="MOU-74341-266"/>
    <x v="294"/>
    <x v="327"/>
    <s v="A-D-0.5"/>
    <n v="4"/>
    <x v="327"/>
    <s v="jawdry9q@utexas.edu"/>
    <x v="0"/>
    <s v="Ara"/>
    <s v="D"/>
    <x v="1"/>
    <n v="5.97"/>
    <x v="86"/>
    <x v="2"/>
    <x v="2"/>
    <x v="1"/>
  </r>
  <r>
    <s v="DHJ-87461-571"/>
    <x v="295"/>
    <x v="328"/>
    <s v="A-M-1"/>
    <n v="2"/>
    <x v="328"/>
    <s v="eryles9r@fastcompany.com"/>
    <x v="0"/>
    <s v="Ara"/>
    <s v="M"/>
    <x v="0"/>
    <n v="11.25"/>
    <x v="122"/>
    <x v="2"/>
    <x v="0"/>
    <x v="1"/>
  </r>
  <r>
    <s v="DKM-97676-850"/>
    <x v="296"/>
    <x v="306"/>
    <s v="E-D-0.5"/>
    <n v="5"/>
    <x v="306"/>
    <n v="0"/>
    <x v="0"/>
    <s v="Exc"/>
    <s v="D"/>
    <x v="1"/>
    <n v="7.29"/>
    <x v="114"/>
    <x v="1"/>
    <x v="2"/>
    <x v="1"/>
  </r>
  <r>
    <s v="UEB-09112-118"/>
    <x v="297"/>
    <x v="329"/>
    <s v="A-M-0.5"/>
    <n v="4"/>
    <x v="329"/>
    <n v="0"/>
    <x v="0"/>
    <s v="Ara"/>
    <s v="M"/>
    <x v="1"/>
    <n v="6.75"/>
    <x v="25"/>
    <x v="2"/>
    <x v="0"/>
    <x v="0"/>
  </r>
  <r>
    <s v="ORZ-67699-748"/>
    <x v="298"/>
    <x v="330"/>
    <s v="A-M-2.5"/>
    <n v="6"/>
    <x v="330"/>
    <s v="jcaldicott9u@usda.gov"/>
    <x v="0"/>
    <s v="Ara"/>
    <s v="M"/>
    <x v="2"/>
    <n v="25.874999999999996"/>
    <x v="71"/>
    <x v="2"/>
    <x v="0"/>
    <x v="1"/>
  </r>
  <r>
    <s v="JXP-28398-485"/>
    <x v="299"/>
    <x v="331"/>
    <s v="A-D-2.5"/>
    <n v="5"/>
    <x v="331"/>
    <s v="mvedmore9v@a8.net"/>
    <x v="0"/>
    <s v="Ara"/>
    <s v="D"/>
    <x v="2"/>
    <n v="22.884999999999998"/>
    <x v="15"/>
    <x v="2"/>
    <x v="2"/>
    <x v="0"/>
  </r>
  <r>
    <s v="WWH-92259-198"/>
    <x v="300"/>
    <x v="332"/>
    <s v="L-D-1"/>
    <n v="4"/>
    <x v="332"/>
    <s v="wromao9w@chronoengine.com"/>
    <x v="0"/>
    <s v="Lib"/>
    <s v="D"/>
    <x v="0"/>
    <n v="12.95"/>
    <x v="67"/>
    <x v="3"/>
    <x v="2"/>
    <x v="0"/>
  </r>
  <r>
    <s v="FLR-82914-153"/>
    <x v="301"/>
    <x v="333"/>
    <s v="A-M-2.5"/>
    <n v="6"/>
    <x v="333"/>
    <n v="0"/>
    <x v="0"/>
    <s v="Ara"/>
    <s v="M"/>
    <x v="2"/>
    <n v="25.874999999999996"/>
    <x v="71"/>
    <x v="2"/>
    <x v="0"/>
    <x v="1"/>
  </r>
  <r>
    <s v="AMB-93600-000"/>
    <x v="302"/>
    <x v="334"/>
    <s v="A-L-2.5"/>
    <n v="1"/>
    <x v="334"/>
    <s v="tcotmore9y@amazonaws.com"/>
    <x v="0"/>
    <s v="Ara"/>
    <s v="L"/>
    <x v="2"/>
    <n v="29.784999999999997"/>
    <x v="91"/>
    <x v="2"/>
    <x v="1"/>
    <x v="1"/>
  </r>
  <r>
    <s v="FEP-36895-658"/>
    <x v="303"/>
    <x v="335"/>
    <s v="R-L-0.2"/>
    <n v="6"/>
    <x v="335"/>
    <s v="yskipsey9z@spotify.com"/>
    <x v="2"/>
    <s v="Rob"/>
    <s v="L"/>
    <x v="3"/>
    <n v="3.5849999999999995"/>
    <x v="137"/>
    <x v="0"/>
    <x v="1"/>
    <x v="1"/>
  </r>
  <r>
    <s v="RXW-91413-276"/>
    <x v="304"/>
    <x v="336"/>
    <s v="R-D-2.5"/>
    <n v="2"/>
    <x v="336"/>
    <s v="ncorpsa0@gmpg.org"/>
    <x v="0"/>
    <s v="Rob"/>
    <s v="D"/>
    <x v="2"/>
    <n v="20.584999999999997"/>
    <x v="13"/>
    <x v="0"/>
    <x v="2"/>
    <x v="1"/>
  </r>
  <r>
    <s v="RXW-91413-276"/>
    <x v="304"/>
    <x v="336"/>
    <s v="R-M-0.5"/>
    <n v="1"/>
    <x v="336"/>
    <s v="ncorpsa0@gmpg.org"/>
    <x v="0"/>
    <s v="Rob"/>
    <s v="M"/>
    <x v="1"/>
    <n v="5.97"/>
    <x v="9"/>
    <x v="0"/>
    <x v="0"/>
    <x v="1"/>
  </r>
  <r>
    <s v="SDB-77492-188"/>
    <x v="305"/>
    <x v="337"/>
    <s v="E-L-1"/>
    <n v="5"/>
    <x v="337"/>
    <s v="fbabbera2@stanford.edu"/>
    <x v="0"/>
    <s v="Exc"/>
    <s v="L"/>
    <x v="0"/>
    <n v="14.85"/>
    <x v="159"/>
    <x v="1"/>
    <x v="1"/>
    <x v="0"/>
  </r>
  <r>
    <s v="RZN-65182-395"/>
    <x v="196"/>
    <x v="338"/>
    <s v="L-M-1"/>
    <n v="6"/>
    <x v="338"/>
    <s v="kloxtona3@opensource.org"/>
    <x v="0"/>
    <s v="Lib"/>
    <s v="M"/>
    <x v="0"/>
    <n v="14.55"/>
    <x v="75"/>
    <x v="3"/>
    <x v="0"/>
    <x v="1"/>
  </r>
  <r>
    <s v="HDQ-86094-507"/>
    <x v="110"/>
    <x v="339"/>
    <s v="E-D-1"/>
    <n v="6"/>
    <x v="339"/>
    <s v="ptoffula4@posterous.com"/>
    <x v="0"/>
    <s v="Exc"/>
    <s v="D"/>
    <x v="0"/>
    <n v="12.15"/>
    <x v="118"/>
    <x v="1"/>
    <x v="2"/>
    <x v="0"/>
  </r>
  <r>
    <s v="YXO-79631-417"/>
    <x v="24"/>
    <x v="340"/>
    <s v="L-D-0.5"/>
    <n v="1"/>
    <x v="340"/>
    <s v="cgwinnetta5@behance.net"/>
    <x v="0"/>
    <s v="Lib"/>
    <s v="D"/>
    <x v="1"/>
    <n v="7.77"/>
    <x v="41"/>
    <x v="3"/>
    <x v="2"/>
    <x v="1"/>
  </r>
  <r>
    <s v="SNF-57032-096"/>
    <x v="306"/>
    <x v="341"/>
    <s v="E-D-0.5"/>
    <n v="6"/>
    <x v="341"/>
    <n v="0"/>
    <x v="0"/>
    <s v="Exc"/>
    <s v="D"/>
    <x v="1"/>
    <n v="7.29"/>
    <x v="160"/>
    <x v="1"/>
    <x v="2"/>
    <x v="1"/>
  </r>
  <r>
    <s v="DGL-29648-995"/>
    <x v="307"/>
    <x v="342"/>
    <s v="L-M-0.2"/>
    <n v="2"/>
    <x v="342"/>
    <n v="0"/>
    <x v="0"/>
    <s v="Lib"/>
    <s v="M"/>
    <x v="3"/>
    <n v="4.3650000000000002"/>
    <x v="31"/>
    <x v="3"/>
    <x v="0"/>
    <x v="0"/>
  </r>
  <r>
    <s v="GPU-65651-504"/>
    <x v="308"/>
    <x v="343"/>
    <s v="E-M-2.5"/>
    <n v="2"/>
    <x v="343"/>
    <s v="lflaoniera8@wordpress.org"/>
    <x v="0"/>
    <s v="Exc"/>
    <s v="M"/>
    <x v="2"/>
    <n v="31.624999999999996"/>
    <x v="40"/>
    <x v="1"/>
    <x v="0"/>
    <x v="1"/>
  </r>
  <r>
    <s v="OJU-34452-896"/>
    <x v="309"/>
    <x v="344"/>
    <s v="E-L-0.5"/>
    <n v="1"/>
    <x v="344"/>
    <n v="0"/>
    <x v="0"/>
    <s v="Exc"/>
    <s v="L"/>
    <x v="1"/>
    <n v="8.91"/>
    <x v="161"/>
    <x v="1"/>
    <x v="1"/>
    <x v="0"/>
  </r>
  <r>
    <s v="GZS-50547-887"/>
    <x v="310"/>
    <x v="345"/>
    <s v="E-D-1"/>
    <n v="2"/>
    <x v="345"/>
    <s v="ccatchesideaa@macromedia.com"/>
    <x v="0"/>
    <s v="Exc"/>
    <s v="D"/>
    <x v="0"/>
    <n v="12.15"/>
    <x v="76"/>
    <x v="1"/>
    <x v="2"/>
    <x v="0"/>
  </r>
  <r>
    <s v="ESR-54041-053"/>
    <x v="311"/>
    <x v="346"/>
    <s v="A-L-0.5"/>
    <n v="6"/>
    <x v="346"/>
    <s v="cgibbonsonab@accuweather.com"/>
    <x v="0"/>
    <s v="Ara"/>
    <s v="L"/>
    <x v="1"/>
    <n v="7.77"/>
    <x v="162"/>
    <x v="2"/>
    <x v="1"/>
    <x v="0"/>
  </r>
  <r>
    <s v="OGD-10781-526"/>
    <x v="132"/>
    <x v="347"/>
    <s v="R-L-0.5"/>
    <n v="6"/>
    <x v="347"/>
    <s v="tfarraac@behance.net"/>
    <x v="0"/>
    <s v="Rob"/>
    <s v="L"/>
    <x v="1"/>
    <n v="7.169999999999999"/>
    <x v="163"/>
    <x v="0"/>
    <x v="1"/>
    <x v="1"/>
  </r>
  <r>
    <s v="FVH-29271-315"/>
    <x v="312"/>
    <x v="348"/>
    <s v="A-D-0.5"/>
    <n v="3"/>
    <x v="348"/>
    <n v="0"/>
    <x v="1"/>
    <s v="Ara"/>
    <s v="D"/>
    <x v="1"/>
    <n v="5.97"/>
    <x v="8"/>
    <x v="2"/>
    <x v="2"/>
    <x v="0"/>
  </r>
  <r>
    <s v="BNZ-20544-633"/>
    <x v="313"/>
    <x v="349"/>
    <s v="L-L-0.5"/>
    <n v="4"/>
    <x v="349"/>
    <s v="gbamfieldae@yellowpages.com"/>
    <x v="0"/>
    <s v="Lib"/>
    <s v="L"/>
    <x v="1"/>
    <n v="9.51"/>
    <x v="82"/>
    <x v="3"/>
    <x v="1"/>
    <x v="0"/>
  </r>
  <r>
    <s v="FUX-85791-078"/>
    <x v="156"/>
    <x v="350"/>
    <s v="A-M-0.2"/>
    <n v="2"/>
    <x v="350"/>
    <s v="whollingdaleaf@about.me"/>
    <x v="0"/>
    <s v="Ara"/>
    <s v="M"/>
    <x v="3"/>
    <n v="3.375"/>
    <x v="52"/>
    <x v="2"/>
    <x v="0"/>
    <x v="0"/>
  </r>
  <r>
    <s v="YXP-20078-116"/>
    <x v="314"/>
    <x v="351"/>
    <s v="R-M-0.5"/>
    <n v="1"/>
    <x v="351"/>
    <s v="jdeag@xrea.com"/>
    <x v="0"/>
    <s v="Rob"/>
    <s v="M"/>
    <x v="1"/>
    <n v="5.97"/>
    <x v="9"/>
    <x v="0"/>
    <x v="0"/>
    <x v="0"/>
  </r>
  <r>
    <s v="VQV-59984-866"/>
    <x v="315"/>
    <x v="352"/>
    <s v="R-D-0.2"/>
    <n v="3"/>
    <x v="352"/>
    <s v="vskulletah@tinyurl.com"/>
    <x v="1"/>
    <s v="Rob"/>
    <s v="D"/>
    <x v="3"/>
    <n v="2.6849999999999996"/>
    <x v="36"/>
    <x v="0"/>
    <x v="2"/>
    <x v="1"/>
  </r>
  <r>
    <s v="JEH-37276-048"/>
    <x v="316"/>
    <x v="353"/>
    <s v="A-L-0.5"/>
    <n v="3"/>
    <x v="353"/>
    <s v="jrudeforthai@wunderground.com"/>
    <x v="1"/>
    <s v="Ara"/>
    <s v="L"/>
    <x v="1"/>
    <n v="7.77"/>
    <x v="102"/>
    <x v="2"/>
    <x v="1"/>
    <x v="0"/>
  </r>
  <r>
    <s v="VYD-28555-589"/>
    <x v="317"/>
    <x v="354"/>
    <s v="R-L-0.5"/>
    <n v="6"/>
    <x v="354"/>
    <s v="atomaszewskiaj@answers.com"/>
    <x v="2"/>
    <s v="Rob"/>
    <s v="L"/>
    <x v="1"/>
    <n v="7.169999999999999"/>
    <x v="163"/>
    <x v="0"/>
    <x v="1"/>
    <x v="0"/>
  </r>
  <r>
    <s v="WUG-76466-650"/>
    <x v="318"/>
    <x v="306"/>
    <s v="L-D-0.5"/>
    <n v="3"/>
    <x v="306"/>
    <n v="0"/>
    <x v="0"/>
    <s v="Lib"/>
    <s v="D"/>
    <x v="1"/>
    <n v="7.77"/>
    <x v="102"/>
    <x v="3"/>
    <x v="2"/>
    <x v="1"/>
  </r>
  <r>
    <s v="RJV-08261-583"/>
    <x v="182"/>
    <x v="355"/>
    <s v="A-D-0.2"/>
    <n v="5"/>
    <x v="355"/>
    <s v="pbessal@qq.com"/>
    <x v="0"/>
    <s v="Ara"/>
    <s v="D"/>
    <x v="3"/>
    <n v="2.9849999999999999"/>
    <x v="128"/>
    <x v="2"/>
    <x v="2"/>
    <x v="0"/>
  </r>
  <r>
    <s v="PMR-56062-609"/>
    <x v="319"/>
    <x v="356"/>
    <s v="E-D-0.5"/>
    <n v="3"/>
    <x v="356"/>
    <s v="ewindressam@marketwatch.com"/>
    <x v="0"/>
    <s v="Exc"/>
    <s v="D"/>
    <x v="1"/>
    <n v="7.29"/>
    <x v="6"/>
    <x v="1"/>
    <x v="2"/>
    <x v="1"/>
  </r>
  <r>
    <s v="XLD-12920-505"/>
    <x v="320"/>
    <x v="357"/>
    <s v="E-L-0.5"/>
    <n v="6"/>
    <x v="357"/>
    <n v="0"/>
    <x v="0"/>
    <s v="Exc"/>
    <s v="L"/>
    <x v="1"/>
    <n v="8.91"/>
    <x v="119"/>
    <x v="1"/>
    <x v="1"/>
    <x v="0"/>
  </r>
  <r>
    <s v="UBW-50312-037"/>
    <x v="321"/>
    <x v="358"/>
    <s v="A-L-2.5"/>
    <n v="4"/>
    <x v="358"/>
    <n v="0"/>
    <x v="0"/>
    <s v="Ara"/>
    <s v="L"/>
    <x v="2"/>
    <n v="29.784999999999997"/>
    <x v="129"/>
    <x v="2"/>
    <x v="1"/>
    <x v="1"/>
  </r>
  <r>
    <s v="QAW-05889-019"/>
    <x v="322"/>
    <x v="359"/>
    <s v="L-M-0.5"/>
    <n v="5"/>
    <x v="359"/>
    <s v="vbaumadierap@google.cn"/>
    <x v="0"/>
    <s v="Lib"/>
    <s v="M"/>
    <x v="1"/>
    <n v="8.73"/>
    <x v="34"/>
    <x v="3"/>
    <x v="0"/>
    <x v="0"/>
  </r>
  <r>
    <s v="EPT-12715-397"/>
    <x v="128"/>
    <x v="360"/>
    <s v="A-D-0.2"/>
    <n v="6"/>
    <x v="360"/>
    <n v="0"/>
    <x v="0"/>
    <s v="Ara"/>
    <s v="D"/>
    <x v="3"/>
    <n v="2.9849999999999999"/>
    <x v="8"/>
    <x v="2"/>
    <x v="2"/>
    <x v="0"/>
  </r>
  <r>
    <s v="DHT-93810-053"/>
    <x v="323"/>
    <x v="361"/>
    <s v="E-L-1"/>
    <n v="5"/>
    <x v="361"/>
    <s v="sweldsar@wired.com"/>
    <x v="0"/>
    <s v="Exc"/>
    <s v="L"/>
    <x v="0"/>
    <n v="14.85"/>
    <x v="159"/>
    <x v="1"/>
    <x v="1"/>
    <x v="0"/>
  </r>
  <r>
    <s v="DMY-96037-963"/>
    <x v="324"/>
    <x v="362"/>
    <s v="L-D-0.2"/>
    <n v="3"/>
    <x v="362"/>
    <s v="msarvaras@artisteer.com"/>
    <x v="0"/>
    <s v="Lib"/>
    <s v="D"/>
    <x v="3"/>
    <n v="3.8849999999999998"/>
    <x v="14"/>
    <x v="3"/>
    <x v="2"/>
    <x v="0"/>
  </r>
  <r>
    <s v="MBM-55936-917"/>
    <x v="325"/>
    <x v="363"/>
    <s v="L-D-0.5"/>
    <n v="3"/>
    <x v="363"/>
    <s v="ahavickat@nsw.gov.au"/>
    <x v="0"/>
    <s v="Lib"/>
    <s v="D"/>
    <x v="1"/>
    <n v="7.77"/>
    <x v="102"/>
    <x v="3"/>
    <x v="2"/>
    <x v="0"/>
  </r>
  <r>
    <s v="TPA-93614-840"/>
    <x v="326"/>
    <x v="364"/>
    <s v="E-D-0.5"/>
    <n v="2"/>
    <x v="364"/>
    <s v="sdivinyau@ask.com"/>
    <x v="0"/>
    <s v="Exc"/>
    <s v="D"/>
    <x v="1"/>
    <n v="7.29"/>
    <x v="20"/>
    <x v="1"/>
    <x v="2"/>
    <x v="0"/>
  </r>
  <r>
    <s v="WDM-77521-710"/>
    <x v="327"/>
    <x v="365"/>
    <s v="A-M-0.5"/>
    <n v="2"/>
    <x v="365"/>
    <s v="inorquoyav@businessweek.com"/>
    <x v="0"/>
    <s v="Ara"/>
    <s v="M"/>
    <x v="1"/>
    <n v="6.75"/>
    <x v="72"/>
    <x v="2"/>
    <x v="0"/>
    <x v="1"/>
  </r>
  <r>
    <s v="EIP-19142-462"/>
    <x v="328"/>
    <x v="366"/>
    <s v="E-L-1"/>
    <n v="6"/>
    <x v="366"/>
    <s v="aiddisonaw@usa.gov"/>
    <x v="0"/>
    <s v="Exc"/>
    <s v="L"/>
    <x v="0"/>
    <n v="14.85"/>
    <x v="146"/>
    <x v="1"/>
    <x v="1"/>
    <x v="1"/>
  </r>
  <r>
    <s v="EIP-19142-462"/>
    <x v="328"/>
    <x v="366"/>
    <s v="A-L-0.2"/>
    <n v="1"/>
    <x v="366"/>
    <s v="aiddisonaw@usa.gov"/>
    <x v="0"/>
    <s v="Ara"/>
    <s v="L"/>
    <x v="3"/>
    <n v="3.8849999999999998"/>
    <x v="84"/>
    <x v="2"/>
    <x v="1"/>
    <x v="1"/>
  </r>
  <r>
    <s v="ZZL-76364-387"/>
    <x v="128"/>
    <x v="367"/>
    <s v="R-L-2.5"/>
    <n v="4"/>
    <x v="367"/>
    <s v="rlongfielday@bluehost.com"/>
    <x v="0"/>
    <s v="Rob"/>
    <s v="L"/>
    <x v="2"/>
    <n v="27.484999999999996"/>
    <x v="108"/>
    <x v="0"/>
    <x v="1"/>
    <x v="1"/>
  </r>
  <r>
    <s v="GMF-18638-786"/>
    <x v="329"/>
    <x v="368"/>
    <s v="L-D-0.5"/>
    <n v="6"/>
    <x v="368"/>
    <s v="gkislingburyaz@samsung.com"/>
    <x v="0"/>
    <s v="Lib"/>
    <s v="D"/>
    <x v="1"/>
    <n v="7.77"/>
    <x v="162"/>
    <x v="3"/>
    <x v="2"/>
    <x v="0"/>
  </r>
  <r>
    <s v="TDJ-20844-787"/>
    <x v="330"/>
    <x v="369"/>
    <s v="A-L-0.5"/>
    <n v="5"/>
    <x v="369"/>
    <s v="xgibbonsb0@artisteer.com"/>
    <x v="0"/>
    <s v="Ara"/>
    <s v="L"/>
    <x v="1"/>
    <n v="7.77"/>
    <x v="5"/>
    <x v="2"/>
    <x v="1"/>
    <x v="1"/>
  </r>
  <r>
    <s v="BWK-39400-446"/>
    <x v="331"/>
    <x v="370"/>
    <s v="L-D-0.5"/>
    <n v="4"/>
    <x v="370"/>
    <s v="fparresb1@imageshack.us"/>
    <x v="0"/>
    <s v="Lib"/>
    <s v="D"/>
    <x v="1"/>
    <n v="7.77"/>
    <x v="113"/>
    <x v="3"/>
    <x v="2"/>
    <x v="0"/>
  </r>
  <r>
    <s v="LCB-02099-995"/>
    <x v="332"/>
    <x v="371"/>
    <s v="A-D-0.2"/>
    <n v="6"/>
    <x v="371"/>
    <s v="gsibrayb2@wsj.com"/>
    <x v="0"/>
    <s v="Ara"/>
    <s v="D"/>
    <x v="3"/>
    <n v="2.9849999999999999"/>
    <x v="8"/>
    <x v="2"/>
    <x v="2"/>
    <x v="0"/>
  </r>
  <r>
    <s v="UBA-43678-174"/>
    <x v="333"/>
    <x v="372"/>
    <s v="E-D-2.5"/>
    <n v="6"/>
    <x v="372"/>
    <s v="ihotchkinb3@mit.edu"/>
    <x v="2"/>
    <s v="Exc"/>
    <s v="D"/>
    <x v="2"/>
    <n v="27.945"/>
    <x v="164"/>
    <x v="1"/>
    <x v="2"/>
    <x v="1"/>
  </r>
  <r>
    <s v="UDH-24280-432"/>
    <x v="334"/>
    <x v="373"/>
    <s v="L-L-1"/>
    <n v="4"/>
    <x v="373"/>
    <s v="nbroadberrieb4@gnu.org"/>
    <x v="0"/>
    <s v="Lib"/>
    <s v="L"/>
    <x v="0"/>
    <n v="15.85"/>
    <x v="165"/>
    <x v="3"/>
    <x v="1"/>
    <x v="1"/>
  </r>
  <r>
    <s v="IDQ-20193-502"/>
    <x v="335"/>
    <x v="374"/>
    <s v="L-M-0.2"/>
    <n v="2"/>
    <x v="374"/>
    <s v="rpithcockb5@yellowbook.com"/>
    <x v="0"/>
    <s v="Lib"/>
    <s v="M"/>
    <x v="3"/>
    <n v="4.3650000000000002"/>
    <x v="31"/>
    <x v="3"/>
    <x v="0"/>
    <x v="0"/>
  </r>
  <r>
    <s v="DJG-14442-608"/>
    <x v="336"/>
    <x v="375"/>
    <s v="R-D-1"/>
    <n v="3"/>
    <x v="375"/>
    <s v="gcroysdaleb6@nih.gov"/>
    <x v="0"/>
    <s v="Rob"/>
    <s v="D"/>
    <x v="0"/>
    <n v="8.9499999999999993"/>
    <x v="166"/>
    <x v="0"/>
    <x v="2"/>
    <x v="0"/>
  </r>
  <r>
    <s v="DWB-61381-370"/>
    <x v="337"/>
    <x v="376"/>
    <s v="L-L-0.2"/>
    <n v="2"/>
    <x v="376"/>
    <s v="bgozzettb7@github.com"/>
    <x v="0"/>
    <s v="Lib"/>
    <s v="L"/>
    <x v="3"/>
    <n v="4.7549999999999999"/>
    <x v="54"/>
    <x v="3"/>
    <x v="1"/>
    <x v="1"/>
  </r>
  <r>
    <s v="FRD-17347-990"/>
    <x v="80"/>
    <x v="377"/>
    <s v="A-D-1"/>
    <n v="4"/>
    <x v="377"/>
    <s v="tcraggsb8@house.gov"/>
    <x v="1"/>
    <s v="Ara"/>
    <s v="D"/>
    <x v="0"/>
    <n v="9.9499999999999993"/>
    <x v="10"/>
    <x v="2"/>
    <x v="2"/>
    <x v="1"/>
  </r>
  <r>
    <s v="YPP-27450-525"/>
    <x v="338"/>
    <x v="378"/>
    <s v="E-M-0.5"/>
    <n v="3"/>
    <x v="378"/>
    <s v="lcullrfordb9@xing.com"/>
    <x v="0"/>
    <s v="Exc"/>
    <s v="M"/>
    <x v="1"/>
    <n v="8.25"/>
    <x v="167"/>
    <x v="1"/>
    <x v="0"/>
    <x v="0"/>
  </r>
  <r>
    <s v="EFC-39577-424"/>
    <x v="339"/>
    <x v="379"/>
    <s v="E-M-1"/>
    <n v="5"/>
    <x v="379"/>
    <s v="arizonba@xing.com"/>
    <x v="0"/>
    <s v="Exc"/>
    <s v="M"/>
    <x v="0"/>
    <n v="13.75"/>
    <x v="85"/>
    <x v="1"/>
    <x v="0"/>
    <x v="0"/>
  </r>
  <r>
    <s v="LAW-80062-016"/>
    <x v="340"/>
    <x v="380"/>
    <s v="E-M-0.5"/>
    <n v="6"/>
    <x v="380"/>
    <n v="0"/>
    <x v="1"/>
    <s v="Exc"/>
    <s v="M"/>
    <x v="1"/>
    <n v="8.25"/>
    <x v="168"/>
    <x v="1"/>
    <x v="0"/>
    <x v="1"/>
  </r>
  <r>
    <s v="WKL-27981-758"/>
    <x v="177"/>
    <x v="381"/>
    <s v="A-M-2.5"/>
    <n v="2"/>
    <x v="381"/>
    <s v="fmiellbc@spiegel.de"/>
    <x v="0"/>
    <s v="Ara"/>
    <s v="M"/>
    <x v="2"/>
    <n v="25.874999999999996"/>
    <x v="95"/>
    <x v="2"/>
    <x v="0"/>
    <x v="0"/>
  </r>
  <r>
    <s v="VRT-39834-265"/>
    <x v="341"/>
    <x v="382"/>
    <s v="L-L-1"/>
    <n v="3"/>
    <x v="382"/>
    <n v="0"/>
    <x v="1"/>
    <s v="Lib"/>
    <s v="L"/>
    <x v="0"/>
    <n v="15.85"/>
    <x v="46"/>
    <x v="3"/>
    <x v="1"/>
    <x v="0"/>
  </r>
  <r>
    <s v="QTC-71005-730"/>
    <x v="342"/>
    <x v="383"/>
    <s v="A-L-0.2"/>
    <n v="4"/>
    <x v="383"/>
    <n v="0"/>
    <x v="0"/>
    <s v="Ara"/>
    <s v="L"/>
    <x v="3"/>
    <n v="3.8849999999999998"/>
    <x v="42"/>
    <x v="2"/>
    <x v="1"/>
    <x v="1"/>
  </r>
  <r>
    <s v="TNX-09857-717"/>
    <x v="343"/>
    <x v="384"/>
    <s v="L-M-1"/>
    <n v="6"/>
    <x v="384"/>
    <n v="0"/>
    <x v="0"/>
    <s v="Lib"/>
    <s v="M"/>
    <x v="0"/>
    <n v="14.55"/>
    <x v="75"/>
    <x v="3"/>
    <x v="0"/>
    <x v="0"/>
  </r>
  <r>
    <s v="JZV-43874-185"/>
    <x v="344"/>
    <x v="385"/>
    <s v="A-M-1"/>
    <n v="5"/>
    <x v="385"/>
    <n v="0"/>
    <x v="0"/>
    <s v="Ara"/>
    <s v="M"/>
    <x v="0"/>
    <n v="11.25"/>
    <x v="126"/>
    <x v="2"/>
    <x v="0"/>
    <x v="0"/>
  </r>
  <r>
    <s v="ICF-17486-106"/>
    <x v="47"/>
    <x v="386"/>
    <s v="L-L-2.5"/>
    <n v="1"/>
    <x v="386"/>
    <s v="wspringallbh@jugem.jp"/>
    <x v="0"/>
    <s v="Lib"/>
    <s v="L"/>
    <x v="2"/>
    <n v="36.454999999999998"/>
    <x v="133"/>
    <x v="3"/>
    <x v="1"/>
    <x v="0"/>
  </r>
  <r>
    <s v="BMK-49520-383"/>
    <x v="345"/>
    <x v="387"/>
    <s v="R-L-0.2"/>
    <n v="3"/>
    <x v="387"/>
    <n v="0"/>
    <x v="0"/>
    <s v="Rob"/>
    <s v="L"/>
    <x v="3"/>
    <n v="3.5849999999999995"/>
    <x v="127"/>
    <x v="0"/>
    <x v="1"/>
    <x v="0"/>
  </r>
  <r>
    <s v="HTS-15020-632"/>
    <x v="169"/>
    <x v="388"/>
    <s v="R-M-0.2"/>
    <n v="3"/>
    <x v="388"/>
    <s v="ghawkyensbj@census.gov"/>
    <x v="0"/>
    <s v="Rob"/>
    <s v="M"/>
    <x v="3"/>
    <n v="2.9849999999999999"/>
    <x v="169"/>
    <x v="0"/>
    <x v="0"/>
    <x v="1"/>
  </r>
  <r>
    <s v="YLE-18247-749"/>
    <x v="346"/>
    <x v="389"/>
    <s v="A-L-0.5"/>
    <n v="3"/>
    <x v="389"/>
    <n v="0"/>
    <x v="0"/>
    <s v="Ara"/>
    <s v="L"/>
    <x v="1"/>
    <n v="7.77"/>
    <x v="102"/>
    <x v="2"/>
    <x v="1"/>
    <x v="0"/>
  </r>
  <r>
    <s v="KJJ-12573-591"/>
    <x v="347"/>
    <x v="390"/>
    <s v="A-L-2.5"/>
    <n v="1"/>
    <x v="390"/>
    <n v="0"/>
    <x v="0"/>
    <s v="Ara"/>
    <s v="L"/>
    <x v="2"/>
    <n v="29.784999999999997"/>
    <x v="91"/>
    <x v="2"/>
    <x v="1"/>
    <x v="0"/>
  </r>
  <r>
    <s v="RGU-43561-950"/>
    <x v="348"/>
    <x v="391"/>
    <s v="A-L-2.5"/>
    <n v="5"/>
    <x v="391"/>
    <s v="bmcgilvrabm@so-net.ne.jp"/>
    <x v="0"/>
    <s v="Ara"/>
    <s v="L"/>
    <x v="2"/>
    <n v="29.784999999999997"/>
    <x v="74"/>
    <x v="2"/>
    <x v="1"/>
    <x v="0"/>
  </r>
  <r>
    <s v="JSN-73975-443"/>
    <x v="349"/>
    <x v="392"/>
    <s v="L-M-0.5"/>
    <n v="1"/>
    <x v="392"/>
    <s v="adanzeybn@github.com"/>
    <x v="0"/>
    <s v="Lib"/>
    <s v="M"/>
    <x v="1"/>
    <n v="8.73"/>
    <x v="31"/>
    <x v="3"/>
    <x v="0"/>
    <x v="0"/>
  </r>
  <r>
    <s v="WNR-71736-993"/>
    <x v="350"/>
    <x v="347"/>
    <s v="L-D-0.5"/>
    <n v="4"/>
    <x v="347"/>
    <s v="tfarraac@behance.net"/>
    <x v="0"/>
    <s v="Lib"/>
    <s v="D"/>
    <x v="1"/>
    <n v="7.77"/>
    <x v="113"/>
    <x v="3"/>
    <x v="2"/>
    <x v="1"/>
  </r>
  <r>
    <s v="WNR-71736-993"/>
    <x v="350"/>
    <x v="347"/>
    <s v="A-D-2.5"/>
    <n v="6"/>
    <x v="347"/>
    <s v="tfarraac@behance.net"/>
    <x v="0"/>
    <s v="Ara"/>
    <s v="D"/>
    <x v="2"/>
    <n v="22.884999999999998"/>
    <x v="170"/>
    <x v="2"/>
    <x v="2"/>
    <x v="1"/>
  </r>
  <r>
    <s v="HNI-91338-546"/>
    <x v="54"/>
    <x v="393"/>
    <s v="A-D-0.5"/>
    <n v="5"/>
    <x v="393"/>
    <n v="0"/>
    <x v="0"/>
    <s v="Ara"/>
    <s v="D"/>
    <x v="1"/>
    <n v="5.97"/>
    <x v="44"/>
    <x v="2"/>
    <x v="2"/>
    <x v="1"/>
  </r>
  <r>
    <s v="CYH-53243-218"/>
    <x v="237"/>
    <x v="394"/>
    <s v="R-M-0.5"/>
    <n v="3"/>
    <x v="394"/>
    <n v="0"/>
    <x v="0"/>
    <s v="Rob"/>
    <s v="M"/>
    <x v="1"/>
    <n v="5.97"/>
    <x v="8"/>
    <x v="0"/>
    <x v="0"/>
    <x v="1"/>
  </r>
  <r>
    <s v="SVD-75407-177"/>
    <x v="351"/>
    <x v="395"/>
    <s v="E-L-0.5"/>
    <n v="3"/>
    <x v="395"/>
    <s v="ydombrellbs@dedecms.com"/>
    <x v="0"/>
    <s v="Exc"/>
    <s v="L"/>
    <x v="1"/>
    <n v="8.91"/>
    <x v="149"/>
    <x v="1"/>
    <x v="1"/>
    <x v="0"/>
  </r>
  <r>
    <s v="NVN-66443-451"/>
    <x v="352"/>
    <x v="396"/>
    <s v="R-D-1"/>
    <n v="2"/>
    <x v="396"/>
    <s v="adarthbt@t.co"/>
    <x v="0"/>
    <s v="Rob"/>
    <s v="D"/>
    <x v="0"/>
    <n v="8.9499999999999993"/>
    <x v="105"/>
    <x v="0"/>
    <x v="2"/>
    <x v="1"/>
  </r>
  <r>
    <s v="JUA-13580-095"/>
    <x v="102"/>
    <x v="397"/>
    <s v="R-L-0.2"/>
    <n v="4"/>
    <x v="397"/>
    <s v="mdarrigoebu@hud.gov"/>
    <x v="1"/>
    <s v="Rob"/>
    <s v="L"/>
    <x v="3"/>
    <n v="3.5849999999999995"/>
    <x v="79"/>
    <x v="0"/>
    <x v="1"/>
    <x v="0"/>
  </r>
  <r>
    <s v="ACY-56225-839"/>
    <x v="353"/>
    <x v="398"/>
    <s v="A-M-2.5"/>
    <n v="3"/>
    <x v="398"/>
    <n v="0"/>
    <x v="0"/>
    <s v="Ara"/>
    <s v="M"/>
    <x v="2"/>
    <n v="25.874999999999996"/>
    <x v="57"/>
    <x v="2"/>
    <x v="0"/>
    <x v="0"/>
  </r>
  <r>
    <s v="QBB-07903-622"/>
    <x v="354"/>
    <x v="399"/>
    <s v="R-L-1"/>
    <n v="5"/>
    <x v="399"/>
    <s v="mackrillbw@bandcamp.com"/>
    <x v="0"/>
    <s v="Rob"/>
    <s v="L"/>
    <x v="0"/>
    <n v="11.95"/>
    <x v="143"/>
    <x v="0"/>
    <x v="1"/>
    <x v="1"/>
  </r>
  <r>
    <s v="JLJ-81802-619"/>
    <x v="135"/>
    <x v="347"/>
    <s v="A-L-1"/>
    <n v="6"/>
    <x v="347"/>
    <s v="tfarraac@behance.net"/>
    <x v="0"/>
    <s v="Ara"/>
    <s v="L"/>
    <x v="0"/>
    <n v="12.95"/>
    <x v="17"/>
    <x v="2"/>
    <x v="1"/>
    <x v="1"/>
  </r>
  <r>
    <s v="HFT-77191-168"/>
    <x v="343"/>
    <x v="400"/>
    <s v="R-D-0.2"/>
    <n v="2"/>
    <x v="400"/>
    <s v="mkippenby@dion.ne.jp"/>
    <x v="0"/>
    <s v="Rob"/>
    <s v="D"/>
    <x v="3"/>
    <n v="2.6849999999999996"/>
    <x v="147"/>
    <x v="0"/>
    <x v="2"/>
    <x v="0"/>
  </r>
  <r>
    <s v="SZR-35951-530"/>
    <x v="89"/>
    <x v="401"/>
    <s v="E-D-2.5"/>
    <n v="3"/>
    <x v="401"/>
    <s v="wransonbz@ted.com"/>
    <x v="1"/>
    <s v="Exc"/>
    <s v="D"/>
    <x v="2"/>
    <n v="27.945"/>
    <x v="171"/>
    <x v="1"/>
    <x v="2"/>
    <x v="0"/>
  </r>
  <r>
    <s v="IKL-95976-565"/>
    <x v="355"/>
    <x v="402"/>
    <s v="A-M-1"/>
    <n v="2"/>
    <x v="402"/>
    <n v="0"/>
    <x v="0"/>
    <s v="Ara"/>
    <s v="M"/>
    <x v="0"/>
    <n v="11.25"/>
    <x v="122"/>
    <x v="2"/>
    <x v="0"/>
    <x v="1"/>
  </r>
  <r>
    <s v="XEY-48929-474"/>
    <x v="204"/>
    <x v="403"/>
    <s v="L-M-2.5"/>
    <n v="6"/>
    <x v="403"/>
    <s v="lrignoldc1@miibeian.gov.cn"/>
    <x v="0"/>
    <s v="Lib"/>
    <s v="M"/>
    <x v="2"/>
    <n v="33.464999999999996"/>
    <x v="172"/>
    <x v="3"/>
    <x v="0"/>
    <x v="0"/>
  </r>
  <r>
    <s v="SQT-07286-736"/>
    <x v="356"/>
    <x v="404"/>
    <s v="A-M-1"/>
    <n v="6"/>
    <x v="404"/>
    <n v="0"/>
    <x v="0"/>
    <s v="Ara"/>
    <s v="M"/>
    <x v="0"/>
    <n v="11.25"/>
    <x v="173"/>
    <x v="2"/>
    <x v="0"/>
    <x v="1"/>
  </r>
  <r>
    <s v="QDU-45390-361"/>
    <x v="357"/>
    <x v="405"/>
    <s v="E-M-0.5"/>
    <n v="1"/>
    <x v="405"/>
    <s v="crowthornc3@msn.com"/>
    <x v="0"/>
    <s v="Exc"/>
    <s v="M"/>
    <x v="1"/>
    <n v="8.25"/>
    <x v="112"/>
    <x v="1"/>
    <x v="0"/>
    <x v="1"/>
  </r>
  <r>
    <s v="RUJ-30649-712"/>
    <x v="300"/>
    <x v="406"/>
    <s v="L-L-0.2"/>
    <n v="2"/>
    <x v="406"/>
    <s v="orylandc4@deviantart.com"/>
    <x v="0"/>
    <s v="Lib"/>
    <s v="L"/>
    <x v="3"/>
    <n v="4.7549999999999999"/>
    <x v="54"/>
    <x v="3"/>
    <x v="1"/>
    <x v="0"/>
  </r>
  <r>
    <s v="WSV-49732-075"/>
    <x v="358"/>
    <x v="407"/>
    <s v="L-D-2.5"/>
    <n v="1"/>
    <x v="407"/>
    <n v="0"/>
    <x v="0"/>
    <s v="Lib"/>
    <s v="D"/>
    <x v="2"/>
    <n v="29.784999999999997"/>
    <x v="91"/>
    <x v="3"/>
    <x v="2"/>
    <x v="1"/>
  </r>
  <r>
    <s v="VJF-46305-323"/>
    <x v="161"/>
    <x v="408"/>
    <s v="L-D-0.5"/>
    <n v="2"/>
    <x v="408"/>
    <s v="msesonck@census.gov"/>
    <x v="0"/>
    <s v="Lib"/>
    <s v="D"/>
    <x v="1"/>
    <n v="7.77"/>
    <x v="42"/>
    <x v="3"/>
    <x v="2"/>
    <x v="1"/>
  </r>
  <r>
    <s v="CXD-74176-600"/>
    <x v="129"/>
    <x v="409"/>
    <s v="E-L-0.5"/>
    <n v="4"/>
    <x v="409"/>
    <s v="craglessc7@webmd.com"/>
    <x v="1"/>
    <s v="Exc"/>
    <s v="L"/>
    <x v="1"/>
    <n v="8.91"/>
    <x v="70"/>
    <x v="1"/>
    <x v="1"/>
    <x v="1"/>
  </r>
  <r>
    <s v="ADX-50674-975"/>
    <x v="359"/>
    <x v="410"/>
    <s v="A-M-2.5"/>
    <n v="4"/>
    <x v="410"/>
    <s v="fhollowsc8@blogtalkradio.com"/>
    <x v="0"/>
    <s v="Ara"/>
    <s v="M"/>
    <x v="2"/>
    <n v="25.874999999999996"/>
    <x v="68"/>
    <x v="2"/>
    <x v="0"/>
    <x v="0"/>
  </r>
  <r>
    <s v="RRP-51647-420"/>
    <x v="360"/>
    <x v="411"/>
    <s v="E-D-1"/>
    <n v="3"/>
    <x v="411"/>
    <s v="llathleiffc9@nationalgeographic.com"/>
    <x v="1"/>
    <s v="Exc"/>
    <s v="D"/>
    <x v="0"/>
    <n v="12.15"/>
    <x v="114"/>
    <x v="1"/>
    <x v="2"/>
    <x v="0"/>
  </r>
  <r>
    <s v="PKJ-99134-523"/>
    <x v="361"/>
    <x v="412"/>
    <s v="R-L-0.5"/>
    <n v="5"/>
    <x v="412"/>
    <s v="kheadsca@jalbum.net"/>
    <x v="0"/>
    <s v="Rob"/>
    <s v="L"/>
    <x v="1"/>
    <n v="7.169999999999999"/>
    <x v="66"/>
    <x v="0"/>
    <x v="1"/>
    <x v="1"/>
  </r>
  <r>
    <s v="FZQ-29439-457"/>
    <x v="362"/>
    <x v="413"/>
    <s v="E-L-0.2"/>
    <n v="5"/>
    <x v="413"/>
    <s v="tbownecb@unicef.org"/>
    <x v="1"/>
    <s v="Exc"/>
    <s v="L"/>
    <x v="3"/>
    <n v="4.4550000000000001"/>
    <x v="110"/>
    <x v="1"/>
    <x v="1"/>
    <x v="0"/>
  </r>
  <r>
    <s v="USN-68115-161"/>
    <x v="363"/>
    <x v="414"/>
    <s v="E-M-0.2"/>
    <n v="6"/>
    <x v="414"/>
    <s v="rjacquemardcc@acquirethisname.com"/>
    <x v="1"/>
    <s v="Exc"/>
    <s v="M"/>
    <x v="3"/>
    <n v="4.125"/>
    <x v="167"/>
    <x v="1"/>
    <x v="0"/>
    <x v="1"/>
  </r>
  <r>
    <s v="IXU-20263-532"/>
    <x v="364"/>
    <x v="415"/>
    <s v="L-M-2.5"/>
    <n v="2"/>
    <x v="415"/>
    <s v="kwarmancd@printfriendly.com"/>
    <x v="1"/>
    <s v="Lib"/>
    <s v="M"/>
    <x v="2"/>
    <n v="33.464999999999996"/>
    <x v="174"/>
    <x v="3"/>
    <x v="0"/>
    <x v="0"/>
  </r>
  <r>
    <s v="CBT-15092-420"/>
    <x v="85"/>
    <x v="416"/>
    <s v="L-M-0.5"/>
    <n v="1"/>
    <x v="416"/>
    <s v="wcholomince@about.com"/>
    <x v="2"/>
    <s v="Lib"/>
    <s v="M"/>
    <x v="1"/>
    <n v="8.73"/>
    <x v="31"/>
    <x v="3"/>
    <x v="0"/>
    <x v="0"/>
  </r>
  <r>
    <s v="PKQ-46841-696"/>
    <x v="365"/>
    <x v="417"/>
    <s v="R-M-0.5"/>
    <n v="3"/>
    <x v="417"/>
    <s v="abraidmancf@census.gov"/>
    <x v="0"/>
    <s v="Rob"/>
    <s v="M"/>
    <x v="1"/>
    <n v="5.97"/>
    <x v="8"/>
    <x v="0"/>
    <x v="0"/>
    <x v="1"/>
  </r>
  <r>
    <s v="XDU-05471-219"/>
    <x v="366"/>
    <x v="418"/>
    <s v="R-L-0.5"/>
    <n v="1"/>
    <x v="418"/>
    <s v="pdurbancg@symantec.com"/>
    <x v="1"/>
    <s v="Rob"/>
    <s v="L"/>
    <x v="1"/>
    <n v="7.169999999999999"/>
    <x v="53"/>
    <x v="0"/>
    <x v="1"/>
    <x v="1"/>
  </r>
  <r>
    <s v="NID-20149-329"/>
    <x v="367"/>
    <x v="419"/>
    <s v="R-D-0.2"/>
    <n v="2"/>
    <x v="419"/>
    <s v="aharroldch@miibeian.gov.cn"/>
    <x v="0"/>
    <s v="Rob"/>
    <s v="D"/>
    <x v="3"/>
    <n v="2.6849999999999996"/>
    <x v="147"/>
    <x v="0"/>
    <x v="2"/>
    <x v="1"/>
  </r>
  <r>
    <s v="SVU-27222-213"/>
    <x v="142"/>
    <x v="420"/>
    <s v="L-L-0.2"/>
    <n v="5"/>
    <x v="420"/>
    <s v="spamphilonci@mlb.com"/>
    <x v="1"/>
    <s v="Lib"/>
    <s v="L"/>
    <x v="3"/>
    <n v="4.7549999999999999"/>
    <x v="29"/>
    <x v="3"/>
    <x v="1"/>
    <x v="1"/>
  </r>
  <r>
    <s v="RWI-84131-848"/>
    <x v="368"/>
    <x v="421"/>
    <s v="R-D-2.5"/>
    <n v="2"/>
    <x v="421"/>
    <s v="mspurdencj@exblog.jp"/>
    <x v="0"/>
    <s v="Rob"/>
    <s v="D"/>
    <x v="2"/>
    <n v="20.584999999999997"/>
    <x v="13"/>
    <x v="0"/>
    <x v="2"/>
    <x v="0"/>
  </r>
  <r>
    <s v="GUU-40666-525"/>
    <x v="31"/>
    <x v="408"/>
    <s v="A-L-0.2"/>
    <n v="3"/>
    <x v="408"/>
    <s v="msesonck@census.gov"/>
    <x v="0"/>
    <s v="Ara"/>
    <s v="L"/>
    <x v="3"/>
    <n v="3.8849999999999998"/>
    <x v="14"/>
    <x v="2"/>
    <x v="1"/>
    <x v="1"/>
  </r>
  <r>
    <s v="SCN-51395-066"/>
    <x v="369"/>
    <x v="422"/>
    <s v="L-L-0.5"/>
    <n v="4"/>
    <x v="422"/>
    <s v="npirronecl@weibo.com"/>
    <x v="0"/>
    <s v="Lib"/>
    <s v="L"/>
    <x v="1"/>
    <n v="9.51"/>
    <x v="82"/>
    <x v="3"/>
    <x v="1"/>
    <x v="1"/>
  </r>
  <r>
    <s v="ULA-24644-321"/>
    <x v="370"/>
    <x v="423"/>
    <s v="R-D-2.5"/>
    <n v="4"/>
    <x v="423"/>
    <s v="rcawleycm@yellowbook.com"/>
    <x v="1"/>
    <s v="Rob"/>
    <s v="D"/>
    <x v="2"/>
    <n v="20.584999999999997"/>
    <x v="18"/>
    <x v="0"/>
    <x v="2"/>
    <x v="0"/>
  </r>
  <r>
    <s v="EOL-92666-762"/>
    <x v="371"/>
    <x v="424"/>
    <s v="L-L-0.2"/>
    <n v="2"/>
    <x v="424"/>
    <s v="sbarribalcn@microsoft.com"/>
    <x v="1"/>
    <s v="Lib"/>
    <s v="L"/>
    <x v="3"/>
    <n v="4.7549999999999999"/>
    <x v="54"/>
    <x v="3"/>
    <x v="1"/>
    <x v="0"/>
  </r>
  <r>
    <s v="AJV-18231-334"/>
    <x v="372"/>
    <x v="425"/>
    <s v="R-D-2.5"/>
    <n v="2"/>
    <x v="425"/>
    <s v="aadamidesco@bizjournals.com"/>
    <x v="2"/>
    <s v="Rob"/>
    <s v="D"/>
    <x v="2"/>
    <n v="20.584999999999997"/>
    <x v="13"/>
    <x v="0"/>
    <x v="2"/>
    <x v="1"/>
  </r>
  <r>
    <s v="ZQI-47236-301"/>
    <x v="373"/>
    <x v="426"/>
    <s v="L-L-0.5"/>
    <n v="5"/>
    <x v="426"/>
    <s v="cthowescp@craigslist.org"/>
    <x v="0"/>
    <s v="Lib"/>
    <s v="L"/>
    <x v="1"/>
    <n v="9.51"/>
    <x v="46"/>
    <x v="3"/>
    <x v="1"/>
    <x v="1"/>
  </r>
  <r>
    <s v="ZCR-15721-658"/>
    <x v="374"/>
    <x v="427"/>
    <s v="A-M-1"/>
    <n v="4"/>
    <x v="427"/>
    <s v="rwillowaycq@admin.ch"/>
    <x v="0"/>
    <s v="Ara"/>
    <s v="M"/>
    <x v="0"/>
    <n v="11.25"/>
    <x v="157"/>
    <x v="2"/>
    <x v="0"/>
    <x v="1"/>
  </r>
  <r>
    <s v="QEW-47945-682"/>
    <x v="319"/>
    <x v="428"/>
    <s v="L-L-0.2"/>
    <n v="5"/>
    <x v="428"/>
    <s v="aelwincr@privacy.gov.au"/>
    <x v="0"/>
    <s v="Lib"/>
    <s v="L"/>
    <x v="3"/>
    <n v="4.7549999999999999"/>
    <x v="29"/>
    <x v="3"/>
    <x v="1"/>
    <x v="1"/>
  </r>
  <r>
    <s v="PSY-45485-542"/>
    <x v="375"/>
    <x v="429"/>
    <s v="R-D-0.5"/>
    <n v="3"/>
    <x v="429"/>
    <s v="abilbrookcs@booking.com"/>
    <x v="1"/>
    <s v="Rob"/>
    <s v="D"/>
    <x v="1"/>
    <n v="5.3699999999999992"/>
    <x v="103"/>
    <x v="0"/>
    <x v="2"/>
    <x v="0"/>
  </r>
  <r>
    <s v="BAQ-74241-156"/>
    <x v="376"/>
    <x v="430"/>
    <s v="R-D-0.2"/>
    <n v="4"/>
    <x v="430"/>
    <s v="rmckallct@sakura.ne.jp"/>
    <x v="2"/>
    <s v="Rob"/>
    <s v="D"/>
    <x v="3"/>
    <n v="2.6849999999999996"/>
    <x v="175"/>
    <x v="0"/>
    <x v="2"/>
    <x v="0"/>
  </r>
  <r>
    <s v="BVU-77367-451"/>
    <x v="377"/>
    <x v="431"/>
    <s v="A-D-1"/>
    <n v="5"/>
    <x v="431"/>
    <s v="bdailecu@vistaprint.com"/>
    <x v="0"/>
    <s v="Ara"/>
    <s v="D"/>
    <x v="0"/>
    <n v="9.9499999999999993"/>
    <x v="12"/>
    <x v="2"/>
    <x v="2"/>
    <x v="0"/>
  </r>
  <r>
    <s v="TJE-91516-344"/>
    <x v="378"/>
    <x v="432"/>
    <s v="E-M-1"/>
    <n v="2"/>
    <x v="432"/>
    <s v="atrehernecv@state.tx.us"/>
    <x v="1"/>
    <s v="Exc"/>
    <s v="M"/>
    <x v="0"/>
    <n v="13.75"/>
    <x v="3"/>
    <x v="1"/>
    <x v="0"/>
    <x v="1"/>
  </r>
  <r>
    <s v="LIS-96202-702"/>
    <x v="277"/>
    <x v="433"/>
    <s v="L-D-2.5"/>
    <n v="4"/>
    <x v="433"/>
    <s v="abrentnallcw@biglobe.ne.jp"/>
    <x v="2"/>
    <s v="Lib"/>
    <s v="D"/>
    <x v="2"/>
    <n v="29.784999999999997"/>
    <x v="129"/>
    <x v="3"/>
    <x v="2"/>
    <x v="1"/>
  </r>
  <r>
    <s v="VIO-27668-766"/>
    <x v="379"/>
    <x v="434"/>
    <s v="R-D-2.5"/>
    <n v="1"/>
    <x v="434"/>
    <s v="ddrinkallcx@psu.edu"/>
    <x v="0"/>
    <s v="Rob"/>
    <s v="D"/>
    <x v="2"/>
    <n v="20.584999999999997"/>
    <x v="123"/>
    <x v="0"/>
    <x v="2"/>
    <x v="0"/>
  </r>
  <r>
    <s v="ZVG-20473-043"/>
    <x v="86"/>
    <x v="435"/>
    <s v="A-D-0.2"/>
    <n v="3"/>
    <x v="435"/>
    <s v="dkornelcy@cyberchimps.com"/>
    <x v="0"/>
    <s v="Ara"/>
    <s v="D"/>
    <x v="3"/>
    <n v="2.9849999999999999"/>
    <x v="169"/>
    <x v="2"/>
    <x v="2"/>
    <x v="0"/>
  </r>
  <r>
    <s v="KGZ-56395-231"/>
    <x v="380"/>
    <x v="436"/>
    <s v="A-D-0.5"/>
    <n v="1"/>
    <x v="436"/>
    <s v="rlequeuxcz@newyorker.com"/>
    <x v="0"/>
    <s v="Ara"/>
    <s v="D"/>
    <x v="1"/>
    <n v="5.97"/>
    <x v="9"/>
    <x v="2"/>
    <x v="2"/>
    <x v="1"/>
  </r>
  <r>
    <s v="CUU-92244-729"/>
    <x v="381"/>
    <x v="437"/>
    <s v="E-M-1"/>
    <n v="3"/>
    <x v="437"/>
    <s v="jmccaulld0@parallels.com"/>
    <x v="0"/>
    <s v="Exc"/>
    <s v="M"/>
    <x v="0"/>
    <n v="13.75"/>
    <x v="1"/>
    <x v="1"/>
    <x v="0"/>
    <x v="0"/>
  </r>
  <r>
    <s v="EHE-94714-312"/>
    <x v="382"/>
    <x v="438"/>
    <s v="E-L-0.2"/>
    <n v="5"/>
    <x v="438"/>
    <s v="abrashda@plala.or.jp"/>
    <x v="0"/>
    <s v="Exc"/>
    <s v="L"/>
    <x v="3"/>
    <n v="4.4550000000000001"/>
    <x v="110"/>
    <x v="1"/>
    <x v="1"/>
    <x v="0"/>
  </r>
  <r>
    <s v="RTL-16205-161"/>
    <x v="11"/>
    <x v="439"/>
    <s v="A-M-0.5"/>
    <n v="1"/>
    <x v="439"/>
    <s v="ahutchinsond2@imgur.com"/>
    <x v="0"/>
    <s v="Ara"/>
    <s v="M"/>
    <x v="1"/>
    <n v="6.75"/>
    <x v="52"/>
    <x v="2"/>
    <x v="0"/>
    <x v="0"/>
  </r>
  <r>
    <s v="GTS-22482-014"/>
    <x v="167"/>
    <x v="440"/>
    <s v="L-M-2.5"/>
    <n v="4"/>
    <x v="440"/>
    <n v="0"/>
    <x v="0"/>
    <s v="Lib"/>
    <s v="M"/>
    <x v="2"/>
    <n v="33.464999999999996"/>
    <x v="136"/>
    <x v="3"/>
    <x v="0"/>
    <x v="0"/>
  </r>
  <r>
    <s v="DYG-25473-881"/>
    <x v="383"/>
    <x v="441"/>
    <s v="A-D-0.2"/>
    <n v="2"/>
    <x v="441"/>
    <s v="rdriversd4@hexun.com"/>
    <x v="0"/>
    <s v="Ara"/>
    <s v="D"/>
    <x v="3"/>
    <n v="2.9849999999999999"/>
    <x v="9"/>
    <x v="2"/>
    <x v="2"/>
    <x v="1"/>
  </r>
  <r>
    <s v="HTR-21838-286"/>
    <x v="18"/>
    <x v="442"/>
    <s v="A-L-1"/>
    <n v="2"/>
    <x v="442"/>
    <s v="hzeald5@google.de"/>
    <x v="0"/>
    <s v="Ara"/>
    <s v="L"/>
    <x v="0"/>
    <n v="12.95"/>
    <x v="109"/>
    <x v="2"/>
    <x v="1"/>
    <x v="1"/>
  </r>
  <r>
    <s v="KYG-28296-920"/>
    <x v="84"/>
    <x v="443"/>
    <s v="E-M-2.5"/>
    <n v="1"/>
    <x v="443"/>
    <s v="gsmallcombed6@ucla.edu"/>
    <x v="1"/>
    <s v="Exc"/>
    <s v="M"/>
    <x v="2"/>
    <n v="31.624999999999996"/>
    <x v="176"/>
    <x v="1"/>
    <x v="0"/>
    <x v="0"/>
  </r>
  <r>
    <s v="NNB-20459-430"/>
    <x v="384"/>
    <x v="444"/>
    <s v="L-M-0.2"/>
    <n v="2"/>
    <x v="444"/>
    <s v="ddibleyd7@feedburner.com"/>
    <x v="0"/>
    <s v="Lib"/>
    <s v="M"/>
    <x v="3"/>
    <n v="4.3650000000000002"/>
    <x v="31"/>
    <x v="3"/>
    <x v="0"/>
    <x v="1"/>
  </r>
  <r>
    <s v="FEK-14025-351"/>
    <x v="385"/>
    <x v="445"/>
    <s v="E-L-0.2"/>
    <n v="6"/>
    <x v="445"/>
    <s v="gdimitrioud8@chronoengine.com"/>
    <x v="0"/>
    <s v="Exc"/>
    <s v="L"/>
    <x v="3"/>
    <n v="4.4550000000000001"/>
    <x v="149"/>
    <x v="1"/>
    <x v="1"/>
    <x v="0"/>
  </r>
  <r>
    <s v="AWH-16980-469"/>
    <x v="386"/>
    <x v="446"/>
    <s v="L-M-0.2"/>
    <n v="6"/>
    <x v="446"/>
    <s v="fflanagand9@woothemes.com"/>
    <x v="0"/>
    <s v="Lib"/>
    <s v="M"/>
    <x v="3"/>
    <n v="4.3650000000000002"/>
    <x v="50"/>
    <x v="3"/>
    <x v="0"/>
    <x v="1"/>
  </r>
  <r>
    <s v="ZPW-31329-741"/>
    <x v="387"/>
    <x v="438"/>
    <s v="R-D-1"/>
    <n v="6"/>
    <x v="438"/>
    <s v="abrashda@plala.or.jp"/>
    <x v="0"/>
    <s v="Rob"/>
    <s v="D"/>
    <x v="0"/>
    <n v="8.9499999999999993"/>
    <x v="59"/>
    <x v="0"/>
    <x v="2"/>
    <x v="0"/>
  </r>
  <r>
    <s v="ZPW-31329-741"/>
    <x v="387"/>
    <x v="438"/>
    <s v="E-M-2.5"/>
    <n v="4"/>
    <x v="438"/>
    <s v="abrashda@plala.or.jp"/>
    <x v="0"/>
    <s v="Exc"/>
    <s v="M"/>
    <x v="2"/>
    <n v="31.624999999999996"/>
    <x v="177"/>
    <x v="1"/>
    <x v="0"/>
    <x v="0"/>
  </r>
  <r>
    <s v="ZPW-31329-741"/>
    <x v="387"/>
    <x v="438"/>
    <s v="E-M-0.2"/>
    <n v="1"/>
    <x v="438"/>
    <s v="abrashda@plala.or.jp"/>
    <x v="0"/>
    <s v="Exc"/>
    <s v="M"/>
    <x v="3"/>
    <n v="4.125"/>
    <x v="83"/>
    <x v="1"/>
    <x v="0"/>
    <x v="0"/>
  </r>
  <r>
    <s v="UBI-83843-396"/>
    <x v="388"/>
    <x v="447"/>
    <s v="R-L-1"/>
    <n v="2"/>
    <x v="447"/>
    <s v="nizhakovdd@aol.com"/>
    <x v="2"/>
    <s v="Rob"/>
    <s v="L"/>
    <x v="0"/>
    <n v="11.95"/>
    <x v="178"/>
    <x v="0"/>
    <x v="1"/>
    <x v="1"/>
  </r>
  <r>
    <s v="VID-40587-569"/>
    <x v="389"/>
    <x v="448"/>
    <s v="E-D-2.5"/>
    <n v="5"/>
    <x v="448"/>
    <s v="skeetsde@answers.com"/>
    <x v="0"/>
    <s v="Exc"/>
    <s v="D"/>
    <x v="2"/>
    <n v="27.945"/>
    <x v="141"/>
    <x v="1"/>
    <x v="2"/>
    <x v="0"/>
  </r>
  <r>
    <s v="KBB-52530-416"/>
    <x v="229"/>
    <x v="449"/>
    <s v="L-D-2.5"/>
    <n v="2"/>
    <x v="449"/>
    <n v="0"/>
    <x v="0"/>
    <s v="Lib"/>
    <s v="D"/>
    <x v="2"/>
    <n v="29.784999999999997"/>
    <x v="120"/>
    <x v="3"/>
    <x v="2"/>
    <x v="0"/>
  </r>
  <r>
    <s v="ISJ-48676-420"/>
    <x v="390"/>
    <x v="450"/>
    <s v="L-L-0.5"/>
    <n v="6"/>
    <x v="450"/>
    <s v="kcakedg@huffingtonpost.com"/>
    <x v="0"/>
    <s v="Lib"/>
    <s v="L"/>
    <x v="1"/>
    <n v="9.51"/>
    <x v="30"/>
    <x v="3"/>
    <x v="1"/>
    <x v="1"/>
  </r>
  <r>
    <s v="MIF-17920-768"/>
    <x v="391"/>
    <x v="451"/>
    <s v="R-L-0.2"/>
    <n v="6"/>
    <x v="451"/>
    <s v="mhanseddh@instagram.com"/>
    <x v="1"/>
    <s v="Rob"/>
    <s v="L"/>
    <x v="3"/>
    <n v="3.5849999999999995"/>
    <x v="137"/>
    <x v="0"/>
    <x v="1"/>
    <x v="0"/>
  </r>
  <r>
    <s v="CPX-19312-088"/>
    <x v="117"/>
    <x v="452"/>
    <s v="L-M-0.5"/>
    <n v="6"/>
    <x v="452"/>
    <s v="fkienleindi@trellian.com"/>
    <x v="1"/>
    <s v="Lib"/>
    <s v="M"/>
    <x v="1"/>
    <n v="8.73"/>
    <x v="28"/>
    <x v="3"/>
    <x v="0"/>
    <x v="0"/>
  </r>
  <r>
    <s v="RXI-67978-260"/>
    <x v="392"/>
    <x v="453"/>
    <s v="E-D-1"/>
    <n v="6"/>
    <x v="453"/>
    <s v="kegglestonedj@sphinn.com"/>
    <x v="1"/>
    <s v="Exc"/>
    <s v="D"/>
    <x v="0"/>
    <n v="12.15"/>
    <x v="118"/>
    <x v="1"/>
    <x v="2"/>
    <x v="1"/>
  </r>
  <r>
    <s v="LKE-14821-285"/>
    <x v="393"/>
    <x v="454"/>
    <s v="R-M-0.2"/>
    <n v="5"/>
    <x v="454"/>
    <s v="bsemkinsdk@unc.edu"/>
    <x v="1"/>
    <s v="Rob"/>
    <s v="M"/>
    <x v="3"/>
    <n v="2.9849999999999999"/>
    <x v="128"/>
    <x v="0"/>
    <x v="0"/>
    <x v="0"/>
  </r>
  <r>
    <s v="LRK-97117-150"/>
    <x v="394"/>
    <x v="455"/>
    <s v="L-L-1"/>
    <n v="6"/>
    <x v="455"/>
    <s v="slorenzettidl@is.gd"/>
    <x v="0"/>
    <s v="Lib"/>
    <s v="L"/>
    <x v="0"/>
    <n v="15.85"/>
    <x v="179"/>
    <x v="3"/>
    <x v="1"/>
    <x v="1"/>
  </r>
  <r>
    <s v="IGK-51227-573"/>
    <x v="137"/>
    <x v="456"/>
    <s v="L-D-0.5"/>
    <n v="2"/>
    <x v="456"/>
    <s v="bgiannazzidm@apple.com"/>
    <x v="0"/>
    <s v="Lib"/>
    <s v="D"/>
    <x v="1"/>
    <n v="7.77"/>
    <x v="42"/>
    <x v="3"/>
    <x v="2"/>
    <x v="1"/>
  </r>
  <r>
    <s v="ZAY-43009-775"/>
    <x v="395"/>
    <x v="457"/>
    <s v="L-D-0.2"/>
    <n v="6"/>
    <x v="457"/>
    <n v="0"/>
    <x v="0"/>
    <s v="Lib"/>
    <s v="D"/>
    <x v="3"/>
    <n v="3.8849999999999998"/>
    <x v="102"/>
    <x v="3"/>
    <x v="2"/>
    <x v="1"/>
  </r>
  <r>
    <s v="EMA-63190-618"/>
    <x v="396"/>
    <x v="458"/>
    <s v="E-M-0.2"/>
    <n v="1"/>
    <x v="458"/>
    <s v="ulethbrigdo@hc360.com"/>
    <x v="0"/>
    <s v="Exc"/>
    <s v="M"/>
    <x v="3"/>
    <n v="4.125"/>
    <x v="83"/>
    <x v="1"/>
    <x v="0"/>
    <x v="0"/>
  </r>
  <r>
    <s v="FBI-35855-418"/>
    <x v="189"/>
    <x v="459"/>
    <s v="R-M-0.5"/>
    <n v="6"/>
    <x v="459"/>
    <s v="sfarnishdp@dmoz.org"/>
    <x v="2"/>
    <s v="Rob"/>
    <s v="M"/>
    <x v="1"/>
    <n v="5.97"/>
    <x v="27"/>
    <x v="0"/>
    <x v="0"/>
    <x v="1"/>
  </r>
  <r>
    <s v="TXB-80533-417"/>
    <x v="8"/>
    <x v="460"/>
    <s v="L-L-1"/>
    <n v="2"/>
    <x v="460"/>
    <s v="fjecockdq@unicef.org"/>
    <x v="0"/>
    <s v="Lib"/>
    <s v="L"/>
    <x v="0"/>
    <n v="15.85"/>
    <x v="124"/>
    <x v="3"/>
    <x v="1"/>
    <x v="1"/>
  </r>
  <r>
    <s v="MBM-00112-248"/>
    <x v="397"/>
    <x v="461"/>
    <s v="L-L-1"/>
    <n v="5"/>
    <x v="461"/>
    <n v="0"/>
    <x v="0"/>
    <s v="Lib"/>
    <s v="L"/>
    <x v="0"/>
    <n v="15.85"/>
    <x v="180"/>
    <x v="3"/>
    <x v="1"/>
    <x v="0"/>
  </r>
  <r>
    <s v="EUO-69145-988"/>
    <x v="398"/>
    <x v="462"/>
    <s v="E-D-0.2"/>
    <n v="3"/>
    <x v="462"/>
    <s v="hpallisterds@ning.com"/>
    <x v="0"/>
    <s v="Exc"/>
    <s v="D"/>
    <x v="3"/>
    <n v="3.645"/>
    <x v="47"/>
    <x v="1"/>
    <x v="2"/>
    <x v="1"/>
  </r>
  <r>
    <s v="GYA-80327-368"/>
    <x v="399"/>
    <x v="463"/>
    <s v="A-D-1"/>
    <n v="4"/>
    <x v="463"/>
    <s v="cmershdt@drupal.org"/>
    <x v="1"/>
    <s v="Ara"/>
    <s v="D"/>
    <x v="0"/>
    <n v="9.9499999999999993"/>
    <x v="10"/>
    <x v="2"/>
    <x v="2"/>
    <x v="1"/>
  </r>
  <r>
    <s v="TNW-41601-420"/>
    <x v="400"/>
    <x v="464"/>
    <s v="R-M-1"/>
    <n v="5"/>
    <x v="464"/>
    <s v="murione5@alexa.com"/>
    <x v="1"/>
    <s v="Rob"/>
    <s v="M"/>
    <x v="0"/>
    <n v="9.9499999999999993"/>
    <x v="12"/>
    <x v="0"/>
    <x v="0"/>
    <x v="0"/>
  </r>
  <r>
    <s v="ALR-62963-723"/>
    <x v="401"/>
    <x v="465"/>
    <s v="R-D-0.2"/>
    <n v="3"/>
    <x v="465"/>
    <n v="0"/>
    <x v="1"/>
    <s v="Rob"/>
    <s v="D"/>
    <x v="3"/>
    <n v="2.6849999999999996"/>
    <x v="36"/>
    <x v="0"/>
    <x v="2"/>
    <x v="0"/>
  </r>
  <r>
    <s v="JIG-27636-870"/>
    <x v="402"/>
    <x v="466"/>
    <s v="R-L-1"/>
    <n v="4"/>
    <x v="466"/>
    <n v="0"/>
    <x v="0"/>
    <s v="Rob"/>
    <s v="L"/>
    <x v="0"/>
    <n v="11.95"/>
    <x v="62"/>
    <x v="0"/>
    <x v="1"/>
    <x v="1"/>
  </r>
  <r>
    <s v="CTE-31437-326"/>
    <x v="6"/>
    <x v="467"/>
    <s v="R-M-0.2"/>
    <n v="4"/>
    <x v="467"/>
    <s v="gduckerdx@patch.com"/>
    <x v="2"/>
    <s v="Rob"/>
    <s v="M"/>
    <x v="3"/>
    <n v="2.9849999999999999"/>
    <x v="22"/>
    <x v="0"/>
    <x v="0"/>
    <x v="1"/>
  </r>
  <r>
    <s v="CTE-31437-326"/>
    <x v="6"/>
    <x v="467"/>
    <s v="E-M-0.2"/>
    <n v="4"/>
    <x v="467"/>
    <s v="gduckerdx@patch.com"/>
    <x v="2"/>
    <s v="Exc"/>
    <s v="M"/>
    <x v="3"/>
    <n v="4.125"/>
    <x v="38"/>
    <x v="1"/>
    <x v="0"/>
    <x v="1"/>
  </r>
  <r>
    <s v="CTE-31437-326"/>
    <x v="6"/>
    <x v="467"/>
    <s v="L-D-1"/>
    <n v="4"/>
    <x v="467"/>
    <s v="gduckerdx@patch.com"/>
    <x v="2"/>
    <s v="Lib"/>
    <s v="D"/>
    <x v="0"/>
    <n v="12.95"/>
    <x v="67"/>
    <x v="3"/>
    <x v="2"/>
    <x v="1"/>
  </r>
  <r>
    <s v="CTE-31437-326"/>
    <x v="6"/>
    <x v="467"/>
    <s v="L-L-0.2"/>
    <n v="3"/>
    <x v="467"/>
    <s v="gduckerdx@patch.com"/>
    <x v="2"/>
    <s v="Lib"/>
    <s v="L"/>
    <x v="3"/>
    <n v="4.7549999999999999"/>
    <x v="181"/>
    <x v="3"/>
    <x v="1"/>
    <x v="1"/>
  </r>
  <r>
    <s v="SLD-63003-334"/>
    <x v="403"/>
    <x v="468"/>
    <s v="L-M-0.2"/>
    <n v="6"/>
    <x v="468"/>
    <s v="wstearleye1@census.gov"/>
    <x v="0"/>
    <s v="Lib"/>
    <s v="M"/>
    <x v="3"/>
    <n v="4.3650000000000002"/>
    <x v="50"/>
    <x v="3"/>
    <x v="0"/>
    <x v="1"/>
  </r>
  <r>
    <s v="BXN-64230-789"/>
    <x v="404"/>
    <x v="469"/>
    <s v="A-L-1"/>
    <n v="2"/>
    <x v="469"/>
    <s v="dwincere2@marriott.com"/>
    <x v="0"/>
    <s v="Ara"/>
    <s v="L"/>
    <x v="0"/>
    <n v="12.95"/>
    <x v="109"/>
    <x v="2"/>
    <x v="1"/>
    <x v="0"/>
  </r>
  <r>
    <s v="XEE-37895-169"/>
    <x v="21"/>
    <x v="470"/>
    <s v="A-L-2.5"/>
    <n v="3"/>
    <x v="470"/>
    <s v="plyfielde3@baidu.com"/>
    <x v="0"/>
    <s v="Ara"/>
    <s v="L"/>
    <x v="2"/>
    <n v="29.784999999999997"/>
    <x v="49"/>
    <x v="2"/>
    <x v="1"/>
    <x v="0"/>
  </r>
  <r>
    <s v="ZTX-80764-911"/>
    <x v="239"/>
    <x v="471"/>
    <s v="L-D-0.5"/>
    <n v="6"/>
    <x v="471"/>
    <s v="hperrise4@studiopress.com"/>
    <x v="1"/>
    <s v="Lib"/>
    <s v="D"/>
    <x v="1"/>
    <n v="7.77"/>
    <x v="162"/>
    <x v="3"/>
    <x v="2"/>
    <x v="1"/>
  </r>
  <r>
    <s v="WVT-88135-549"/>
    <x v="405"/>
    <x v="464"/>
    <s v="A-D-1"/>
    <n v="3"/>
    <x v="464"/>
    <s v="murione5@alexa.com"/>
    <x v="1"/>
    <s v="Ara"/>
    <s v="D"/>
    <x v="0"/>
    <n v="9.9499999999999993"/>
    <x v="44"/>
    <x v="2"/>
    <x v="2"/>
    <x v="0"/>
  </r>
  <r>
    <s v="IPA-94170-889"/>
    <x v="292"/>
    <x v="472"/>
    <s v="R-L-0.2"/>
    <n v="3"/>
    <x v="472"/>
    <s v="ckide6@narod.ru"/>
    <x v="1"/>
    <s v="Rob"/>
    <s v="L"/>
    <x v="3"/>
    <n v="3.5849999999999995"/>
    <x v="127"/>
    <x v="0"/>
    <x v="1"/>
    <x v="0"/>
  </r>
  <r>
    <s v="YQL-63755-365"/>
    <x v="117"/>
    <x v="473"/>
    <s v="A-M-0.2"/>
    <n v="4"/>
    <x v="473"/>
    <s v="cbeinee7@xinhuanet.com"/>
    <x v="0"/>
    <s v="Ara"/>
    <s v="M"/>
    <x v="3"/>
    <n v="3.375"/>
    <x v="72"/>
    <x v="2"/>
    <x v="0"/>
    <x v="0"/>
  </r>
  <r>
    <s v="RKW-81145-984"/>
    <x v="406"/>
    <x v="474"/>
    <s v="L-L-1"/>
    <n v="3"/>
    <x v="474"/>
    <s v="cbakeupe8@globo.com"/>
    <x v="0"/>
    <s v="Lib"/>
    <s v="L"/>
    <x v="0"/>
    <n v="15.85"/>
    <x v="46"/>
    <x v="3"/>
    <x v="1"/>
    <x v="1"/>
  </r>
  <r>
    <s v="MBT-23379-866"/>
    <x v="407"/>
    <x v="475"/>
    <s v="L-L-1"/>
    <n v="5"/>
    <x v="475"/>
    <s v="nhelkine9@example.com"/>
    <x v="0"/>
    <s v="Lib"/>
    <s v="L"/>
    <x v="0"/>
    <n v="15.85"/>
    <x v="180"/>
    <x v="3"/>
    <x v="1"/>
    <x v="1"/>
  </r>
  <r>
    <s v="GEJ-39834-935"/>
    <x v="408"/>
    <x v="476"/>
    <s v="L-M-0.2"/>
    <n v="6"/>
    <x v="476"/>
    <s v="pwitheringtonea@networkadvertising.org"/>
    <x v="0"/>
    <s v="Lib"/>
    <s v="M"/>
    <x v="3"/>
    <n v="4.3650000000000002"/>
    <x v="50"/>
    <x v="3"/>
    <x v="0"/>
    <x v="0"/>
  </r>
  <r>
    <s v="KRW-91640-596"/>
    <x v="409"/>
    <x v="477"/>
    <s v="R-L-0.5"/>
    <n v="3"/>
    <x v="477"/>
    <s v="ttilzeyeb@hostgator.com"/>
    <x v="0"/>
    <s v="Rob"/>
    <s v="L"/>
    <x v="1"/>
    <n v="7.169999999999999"/>
    <x v="137"/>
    <x v="0"/>
    <x v="1"/>
    <x v="1"/>
  </r>
  <r>
    <s v="AOT-70449-651"/>
    <x v="410"/>
    <x v="478"/>
    <s v="R-D-2.5"/>
    <n v="5"/>
    <x v="478"/>
    <n v="0"/>
    <x v="0"/>
    <s v="Rob"/>
    <s v="D"/>
    <x v="2"/>
    <n v="20.584999999999997"/>
    <x v="182"/>
    <x v="0"/>
    <x v="2"/>
    <x v="0"/>
  </r>
  <r>
    <s v="DGC-21813-731"/>
    <x v="127"/>
    <x v="479"/>
    <s v="L-D-0.2"/>
    <n v="2"/>
    <x v="479"/>
    <n v="0"/>
    <x v="0"/>
    <s v="Lib"/>
    <s v="D"/>
    <x v="3"/>
    <n v="3.8849999999999998"/>
    <x v="41"/>
    <x v="3"/>
    <x v="2"/>
    <x v="1"/>
  </r>
  <r>
    <s v="JBE-92943-643"/>
    <x v="411"/>
    <x v="480"/>
    <s v="E-D-2.5"/>
    <n v="5"/>
    <x v="480"/>
    <s v="kimortsee@alexa.com"/>
    <x v="0"/>
    <s v="Exc"/>
    <s v="D"/>
    <x v="2"/>
    <n v="27.945"/>
    <x v="141"/>
    <x v="1"/>
    <x v="2"/>
    <x v="1"/>
  </r>
  <r>
    <s v="ZIL-34948-499"/>
    <x v="112"/>
    <x v="464"/>
    <s v="A-D-0.5"/>
    <n v="2"/>
    <x v="464"/>
    <s v="murione5@alexa.com"/>
    <x v="1"/>
    <s v="Ara"/>
    <s v="D"/>
    <x v="1"/>
    <n v="5.97"/>
    <x v="22"/>
    <x v="2"/>
    <x v="2"/>
    <x v="0"/>
  </r>
  <r>
    <s v="JSU-23781-256"/>
    <x v="412"/>
    <x v="481"/>
    <s v="L-D-0.2"/>
    <n v="1"/>
    <x v="481"/>
    <s v="marmisteadeg@blogtalkradio.com"/>
    <x v="0"/>
    <s v="Lib"/>
    <s v="D"/>
    <x v="3"/>
    <n v="3.8849999999999998"/>
    <x v="84"/>
    <x v="3"/>
    <x v="2"/>
    <x v="1"/>
  </r>
  <r>
    <s v="JSU-23781-256"/>
    <x v="412"/>
    <x v="481"/>
    <s v="R-M-1"/>
    <n v="4"/>
    <x v="481"/>
    <s v="marmisteadeg@blogtalkradio.com"/>
    <x v="0"/>
    <s v="Rob"/>
    <s v="M"/>
    <x v="0"/>
    <n v="9.9499999999999993"/>
    <x v="10"/>
    <x v="0"/>
    <x v="0"/>
    <x v="1"/>
  </r>
  <r>
    <s v="VPX-44956-367"/>
    <x v="413"/>
    <x v="482"/>
    <s v="R-M-0.5"/>
    <n v="5"/>
    <x v="482"/>
    <s v="vupstoneei@google.pl"/>
    <x v="0"/>
    <s v="Rob"/>
    <s v="M"/>
    <x v="1"/>
    <n v="5.97"/>
    <x v="44"/>
    <x v="0"/>
    <x v="0"/>
    <x v="1"/>
  </r>
  <r>
    <s v="VTB-46451-959"/>
    <x v="414"/>
    <x v="483"/>
    <s v="L-D-2.5"/>
    <n v="1"/>
    <x v="483"/>
    <s v="bbeelbyej@rediff.com"/>
    <x v="1"/>
    <s v="Lib"/>
    <s v="D"/>
    <x v="2"/>
    <n v="29.784999999999997"/>
    <x v="91"/>
    <x v="3"/>
    <x v="2"/>
    <x v="1"/>
  </r>
  <r>
    <s v="DNZ-11665-950"/>
    <x v="415"/>
    <x v="484"/>
    <s v="L-L-2.5"/>
    <n v="2"/>
    <x v="484"/>
    <n v="0"/>
    <x v="0"/>
    <s v="Lib"/>
    <s v="L"/>
    <x v="2"/>
    <n v="36.454999999999998"/>
    <x v="37"/>
    <x v="3"/>
    <x v="1"/>
    <x v="1"/>
  </r>
  <r>
    <s v="ITR-54735-364"/>
    <x v="416"/>
    <x v="485"/>
    <s v="R-D-0.2"/>
    <n v="5"/>
    <x v="485"/>
    <n v="0"/>
    <x v="0"/>
    <s v="Rob"/>
    <s v="D"/>
    <x v="3"/>
    <n v="2.6849999999999996"/>
    <x v="148"/>
    <x v="0"/>
    <x v="2"/>
    <x v="0"/>
  </r>
  <r>
    <s v="YDS-02797-307"/>
    <x v="417"/>
    <x v="486"/>
    <s v="E-M-2.5"/>
    <n v="4"/>
    <x v="486"/>
    <s v="wspeechlyem@amazon.com"/>
    <x v="0"/>
    <s v="Exc"/>
    <s v="M"/>
    <x v="2"/>
    <n v="31.624999999999996"/>
    <x v="177"/>
    <x v="1"/>
    <x v="0"/>
    <x v="0"/>
  </r>
  <r>
    <s v="BPG-68988-842"/>
    <x v="418"/>
    <x v="487"/>
    <s v="E-M-0.5"/>
    <n v="5"/>
    <x v="487"/>
    <s v="iphillpoten@buzzfeed.com"/>
    <x v="2"/>
    <s v="Exc"/>
    <s v="M"/>
    <x v="1"/>
    <n v="8.25"/>
    <x v="1"/>
    <x v="1"/>
    <x v="0"/>
    <x v="1"/>
  </r>
  <r>
    <s v="XZG-51938-658"/>
    <x v="419"/>
    <x v="488"/>
    <s v="E-L-0.5"/>
    <n v="6"/>
    <x v="488"/>
    <s v="lpennaccieo@statcounter.com"/>
    <x v="0"/>
    <s v="Exc"/>
    <s v="L"/>
    <x v="1"/>
    <n v="8.91"/>
    <x v="119"/>
    <x v="1"/>
    <x v="1"/>
    <x v="1"/>
  </r>
  <r>
    <s v="KAR-24978-271"/>
    <x v="420"/>
    <x v="489"/>
    <s v="R-M-1"/>
    <n v="6"/>
    <x v="489"/>
    <s v="sarpinep@moonfruit.com"/>
    <x v="0"/>
    <s v="Rob"/>
    <s v="M"/>
    <x v="0"/>
    <n v="9.9499999999999993"/>
    <x v="33"/>
    <x v="0"/>
    <x v="0"/>
    <x v="1"/>
  </r>
  <r>
    <s v="FQK-28730-361"/>
    <x v="421"/>
    <x v="490"/>
    <s v="R-M-1"/>
    <n v="6"/>
    <x v="490"/>
    <s v="dfrieseq@cargocollective.com"/>
    <x v="0"/>
    <s v="Rob"/>
    <s v="M"/>
    <x v="0"/>
    <n v="9.9499999999999993"/>
    <x v="33"/>
    <x v="0"/>
    <x v="0"/>
    <x v="1"/>
  </r>
  <r>
    <s v="BGB-67996-089"/>
    <x v="422"/>
    <x v="491"/>
    <s v="R-D-1"/>
    <n v="5"/>
    <x v="491"/>
    <s v="rsharerer@flavors.me"/>
    <x v="0"/>
    <s v="Rob"/>
    <s v="D"/>
    <x v="0"/>
    <n v="8.9499999999999993"/>
    <x v="153"/>
    <x v="0"/>
    <x v="2"/>
    <x v="1"/>
  </r>
  <r>
    <s v="XMC-20620-809"/>
    <x v="423"/>
    <x v="492"/>
    <s v="E-M-0.5"/>
    <n v="2"/>
    <x v="492"/>
    <s v="nnasebyes@umich.edu"/>
    <x v="0"/>
    <s v="Exc"/>
    <s v="M"/>
    <x v="1"/>
    <n v="8.25"/>
    <x v="38"/>
    <x v="1"/>
    <x v="0"/>
    <x v="0"/>
  </r>
  <r>
    <s v="ZSO-58292-191"/>
    <x v="109"/>
    <x v="493"/>
    <s v="R-D-0.5"/>
    <n v="4"/>
    <x v="493"/>
    <n v="0"/>
    <x v="0"/>
    <s v="Rob"/>
    <s v="D"/>
    <x v="1"/>
    <n v="5.3699999999999992"/>
    <x v="155"/>
    <x v="0"/>
    <x v="2"/>
    <x v="1"/>
  </r>
  <r>
    <s v="LWJ-06793-303"/>
    <x v="204"/>
    <x v="494"/>
    <s v="R-M-2.5"/>
    <n v="2"/>
    <x v="494"/>
    <s v="koculleneu@ca.gov"/>
    <x v="1"/>
    <s v="Rob"/>
    <s v="M"/>
    <x v="2"/>
    <n v="22.884999999999998"/>
    <x v="135"/>
    <x v="0"/>
    <x v="0"/>
    <x v="0"/>
  </r>
  <r>
    <s v="FLM-82229-989"/>
    <x v="424"/>
    <x v="495"/>
    <s v="L-L-0.2"/>
    <n v="2"/>
    <x v="495"/>
    <n v="0"/>
    <x v="1"/>
    <s v="Lib"/>
    <s v="L"/>
    <x v="3"/>
    <n v="4.7549999999999999"/>
    <x v="54"/>
    <x v="3"/>
    <x v="1"/>
    <x v="1"/>
  </r>
  <r>
    <s v="CPV-90280-133"/>
    <x v="13"/>
    <x v="464"/>
    <s v="R-D-0.2"/>
    <n v="3"/>
    <x v="464"/>
    <s v="murione5@alexa.com"/>
    <x v="1"/>
    <s v="Rob"/>
    <s v="D"/>
    <x v="3"/>
    <n v="2.6849999999999996"/>
    <x v="36"/>
    <x v="0"/>
    <x v="2"/>
    <x v="0"/>
  </r>
  <r>
    <s v="OGW-60685-912"/>
    <x v="224"/>
    <x v="496"/>
    <s v="E-D-2.5"/>
    <n v="4"/>
    <x v="496"/>
    <s v="hbranganex@woothemes.com"/>
    <x v="0"/>
    <s v="Exc"/>
    <s v="D"/>
    <x v="2"/>
    <n v="27.945"/>
    <x v="150"/>
    <x v="1"/>
    <x v="2"/>
    <x v="0"/>
  </r>
  <r>
    <s v="DEC-11160-362"/>
    <x v="220"/>
    <x v="497"/>
    <s v="R-D-0.2"/>
    <n v="4"/>
    <x v="497"/>
    <s v="agallyoney@engadget.com"/>
    <x v="0"/>
    <s v="Rob"/>
    <s v="D"/>
    <x v="3"/>
    <n v="2.6849999999999996"/>
    <x v="175"/>
    <x v="0"/>
    <x v="2"/>
    <x v="0"/>
  </r>
  <r>
    <s v="WCT-07869-499"/>
    <x v="91"/>
    <x v="498"/>
    <s v="R-D-0.5"/>
    <n v="5"/>
    <x v="498"/>
    <s v="bdomangeez@yahoo.co.jp"/>
    <x v="0"/>
    <s v="Rob"/>
    <s v="D"/>
    <x v="1"/>
    <n v="5.3699999999999992"/>
    <x v="51"/>
    <x v="0"/>
    <x v="2"/>
    <x v="1"/>
  </r>
  <r>
    <s v="FHD-89872-325"/>
    <x v="425"/>
    <x v="499"/>
    <s v="L-L-1"/>
    <n v="4"/>
    <x v="499"/>
    <s v="koslerf0@gmpg.org"/>
    <x v="0"/>
    <s v="Lib"/>
    <s v="L"/>
    <x v="0"/>
    <n v="15.85"/>
    <x v="165"/>
    <x v="3"/>
    <x v="1"/>
    <x v="0"/>
  </r>
  <r>
    <s v="AZF-45991-584"/>
    <x v="426"/>
    <x v="500"/>
    <s v="A-D-2.5"/>
    <n v="1"/>
    <x v="500"/>
    <n v="0"/>
    <x v="1"/>
    <s v="Ara"/>
    <s v="D"/>
    <x v="2"/>
    <n v="22.884999999999998"/>
    <x v="156"/>
    <x v="2"/>
    <x v="2"/>
    <x v="0"/>
  </r>
  <r>
    <s v="MDG-14481-513"/>
    <x v="427"/>
    <x v="501"/>
    <s v="A-M-2.5"/>
    <n v="4"/>
    <x v="501"/>
    <s v="zpellettf2@dailymotion.com"/>
    <x v="0"/>
    <s v="Ara"/>
    <s v="M"/>
    <x v="2"/>
    <n v="25.874999999999996"/>
    <x v="68"/>
    <x v="2"/>
    <x v="0"/>
    <x v="1"/>
  </r>
  <r>
    <s v="OFN-49424-848"/>
    <x v="428"/>
    <x v="502"/>
    <s v="R-L-2.5"/>
    <n v="2"/>
    <x v="502"/>
    <s v="isprakesf3@spiegel.de"/>
    <x v="0"/>
    <s v="Rob"/>
    <s v="L"/>
    <x v="2"/>
    <n v="27.484999999999996"/>
    <x v="4"/>
    <x v="0"/>
    <x v="1"/>
    <x v="1"/>
  </r>
  <r>
    <s v="NFA-03411-746"/>
    <x v="383"/>
    <x v="503"/>
    <s v="A-L-0.5"/>
    <n v="2"/>
    <x v="503"/>
    <s v="hfromantf4@ucsd.edu"/>
    <x v="0"/>
    <s v="Ara"/>
    <s v="L"/>
    <x v="1"/>
    <n v="7.77"/>
    <x v="42"/>
    <x v="2"/>
    <x v="1"/>
    <x v="1"/>
  </r>
  <r>
    <s v="CYM-74988-450"/>
    <x v="156"/>
    <x v="504"/>
    <s v="L-D-0.2"/>
    <n v="4"/>
    <x v="504"/>
    <s v="rflearf5@artisteer.com"/>
    <x v="2"/>
    <s v="Lib"/>
    <s v="D"/>
    <x v="3"/>
    <n v="3.8849999999999998"/>
    <x v="42"/>
    <x v="3"/>
    <x v="2"/>
    <x v="1"/>
  </r>
  <r>
    <s v="WTV-24996-658"/>
    <x v="429"/>
    <x v="505"/>
    <s v="E-D-2.5"/>
    <n v="3"/>
    <x v="505"/>
    <n v="0"/>
    <x v="1"/>
    <s v="Exc"/>
    <s v="D"/>
    <x v="2"/>
    <n v="27.945"/>
    <x v="171"/>
    <x v="1"/>
    <x v="2"/>
    <x v="1"/>
  </r>
  <r>
    <s v="DSL-69915-544"/>
    <x v="103"/>
    <x v="506"/>
    <s v="R-L-0.2"/>
    <n v="3"/>
    <x v="506"/>
    <s v="wlightollersf9@baidu.com"/>
    <x v="0"/>
    <s v="Rob"/>
    <s v="L"/>
    <x v="3"/>
    <n v="3.5849999999999995"/>
    <x v="127"/>
    <x v="0"/>
    <x v="1"/>
    <x v="0"/>
  </r>
  <r>
    <s v="NBT-35757-542"/>
    <x v="361"/>
    <x v="507"/>
    <s v="E-L-0.2"/>
    <n v="3"/>
    <x v="507"/>
    <s v="bmundenf8@elpais.com"/>
    <x v="0"/>
    <s v="Exc"/>
    <s v="L"/>
    <x v="3"/>
    <n v="4.4550000000000001"/>
    <x v="77"/>
    <x v="1"/>
    <x v="1"/>
    <x v="0"/>
  </r>
  <r>
    <s v="OYU-25085-528"/>
    <x v="120"/>
    <x v="506"/>
    <s v="E-L-0.2"/>
    <n v="4"/>
    <x v="506"/>
    <s v="wlightollersf9@baidu.com"/>
    <x v="0"/>
    <s v="Exc"/>
    <s v="L"/>
    <x v="3"/>
    <n v="4.4550000000000001"/>
    <x v="58"/>
    <x v="1"/>
    <x v="1"/>
    <x v="0"/>
  </r>
  <r>
    <s v="XCG-07109-195"/>
    <x v="430"/>
    <x v="508"/>
    <s v="L-D-0.2"/>
    <n v="6"/>
    <x v="508"/>
    <s v="nbrakespearfa@rediff.com"/>
    <x v="0"/>
    <s v="Lib"/>
    <s v="D"/>
    <x v="3"/>
    <n v="3.8849999999999998"/>
    <x v="102"/>
    <x v="3"/>
    <x v="2"/>
    <x v="0"/>
  </r>
  <r>
    <s v="YZA-25234-630"/>
    <x v="125"/>
    <x v="509"/>
    <s v="E-D-0.2"/>
    <n v="2"/>
    <x v="509"/>
    <s v="mglawsopfb@reverbnation.com"/>
    <x v="0"/>
    <s v="Exc"/>
    <s v="D"/>
    <x v="3"/>
    <n v="3.645"/>
    <x v="35"/>
    <x v="1"/>
    <x v="2"/>
    <x v="1"/>
  </r>
  <r>
    <s v="OKU-29966-417"/>
    <x v="431"/>
    <x v="510"/>
    <s v="E-L-0.2"/>
    <n v="4"/>
    <x v="510"/>
    <s v="galbertsfc@etsy.com"/>
    <x v="2"/>
    <s v="Exc"/>
    <s v="L"/>
    <x v="3"/>
    <n v="4.4550000000000001"/>
    <x v="58"/>
    <x v="1"/>
    <x v="1"/>
    <x v="0"/>
  </r>
  <r>
    <s v="MEX-29350-659"/>
    <x v="40"/>
    <x v="511"/>
    <s v="E-M-1"/>
    <n v="5"/>
    <x v="511"/>
    <s v="vpolglasefd@about.me"/>
    <x v="0"/>
    <s v="Exc"/>
    <s v="M"/>
    <x v="0"/>
    <n v="13.75"/>
    <x v="85"/>
    <x v="1"/>
    <x v="0"/>
    <x v="1"/>
  </r>
  <r>
    <s v="NOY-99738-977"/>
    <x v="432"/>
    <x v="512"/>
    <s v="R-L-2.5"/>
    <n v="2"/>
    <x v="512"/>
    <n v="0"/>
    <x v="2"/>
    <s v="Rob"/>
    <s v="L"/>
    <x v="2"/>
    <n v="27.484999999999996"/>
    <x v="4"/>
    <x v="0"/>
    <x v="1"/>
    <x v="0"/>
  </r>
  <r>
    <s v="TCR-01064-030"/>
    <x v="254"/>
    <x v="513"/>
    <s v="E-M-1"/>
    <n v="6"/>
    <x v="513"/>
    <s v="sbuschff@so-net.ne.jp"/>
    <x v="1"/>
    <s v="Exc"/>
    <s v="M"/>
    <x v="0"/>
    <n v="13.75"/>
    <x v="121"/>
    <x v="1"/>
    <x v="0"/>
    <x v="1"/>
  </r>
  <r>
    <s v="YUL-42750-776"/>
    <x v="219"/>
    <x v="514"/>
    <s v="L-M-0.2"/>
    <n v="2"/>
    <x v="514"/>
    <s v="craisbeckfg@webnode.com"/>
    <x v="0"/>
    <s v="Lib"/>
    <s v="M"/>
    <x v="3"/>
    <n v="4.3650000000000002"/>
    <x v="31"/>
    <x v="3"/>
    <x v="0"/>
    <x v="0"/>
  </r>
  <r>
    <s v="XQJ-86887-506"/>
    <x v="433"/>
    <x v="464"/>
    <s v="E-L-1"/>
    <n v="4"/>
    <x v="464"/>
    <s v="murione5@alexa.com"/>
    <x v="1"/>
    <s v="Exc"/>
    <s v="L"/>
    <x v="0"/>
    <n v="14.85"/>
    <x v="48"/>
    <x v="1"/>
    <x v="1"/>
    <x v="0"/>
  </r>
  <r>
    <s v="CUN-90044-279"/>
    <x v="434"/>
    <x v="515"/>
    <s v="L-D-0.2"/>
    <n v="4"/>
    <x v="515"/>
    <n v="0"/>
    <x v="0"/>
    <s v="Lib"/>
    <s v="D"/>
    <x v="3"/>
    <n v="3.8849999999999998"/>
    <x v="42"/>
    <x v="3"/>
    <x v="2"/>
    <x v="0"/>
  </r>
  <r>
    <s v="ICC-73030-502"/>
    <x v="435"/>
    <x v="516"/>
    <s v="A-L-1"/>
    <n v="3"/>
    <x v="516"/>
    <s v="raynoldfj@ustream.tv"/>
    <x v="0"/>
    <s v="Ara"/>
    <s v="L"/>
    <x v="0"/>
    <n v="12.95"/>
    <x v="5"/>
    <x v="2"/>
    <x v="1"/>
    <x v="0"/>
  </r>
  <r>
    <s v="ADP-04506-084"/>
    <x v="436"/>
    <x v="517"/>
    <s v="E-M-2.5"/>
    <n v="6"/>
    <x v="517"/>
    <n v="0"/>
    <x v="0"/>
    <s v="Exc"/>
    <s v="M"/>
    <x v="2"/>
    <n v="31.624999999999996"/>
    <x v="152"/>
    <x v="1"/>
    <x v="0"/>
    <x v="0"/>
  </r>
  <r>
    <s v="PNU-22150-408"/>
    <x v="437"/>
    <x v="518"/>
    <s v="A-D-0.2"/>
    <n v="6"/>
    <x v="518"/>
    <n v="0"/>
    <x v="1"/>
    <s v="Ara"/>
    <s v="D"/>
    <x v="3"/>
    <n v="2.9849999999999999"/>
    <x v="8"/>
    <x v="2"/>
    <x v="2"/>
    <x v="0"/>
  </r>
  <r>
    <s v="VSQ-07182-513"/>
    <x v="438"/>
    <x v="519"/>
    <s v="L-L-0.2"/>
    <n v="6"/>
    <x v="519"/>
    <s v="bgrecefm@naver.com"/>
    <x v="2"/>
    <s v="Lib"/>
    <s v="L"/>
    <x v="3"/>
    <n v="4.7549999999999999"/>
    <x v="32"/>
    <x v="3"/>
    <x v="1"/>
    <x v="1"/>
  </r>
  <r>
    <s v="SPF-31673-217"/>
    <x v="439"/>
    <x v="520"/>
    <s v="E-M-1"/>
    <n v="6"/>
    <x v="520"/>
    <s v="dflintiffg1@e-recht24.de"/>
    <x v="2"/>
    <s v="Exc"/>
    <s v="M"/>
    <x v="0"/>
    <n v="13.75"/>
    <x v="121"/>
    <x v="1"/>
    <x v="0"/>
    <x v="1"/>
  </r>
  <r>
    <s v="NEX-63825-598"/>
    <x v="175"/>
    <x v="521"/>
    <s v="R-L-0.5"/>
    <n v="2"/>
    <x v="521"/>
    <s v="athysfo@cdc.gov"/>
    <x v="0"/>
    <s v="Rob"/>
    <s v="L"/>
    <x v="1"/>
    <n v="7.169999999999999"/>
    <x v="79"/>
    <x v="0"/>
    <x v="1"/>
    <x v="1"/>
  </r>
  <r>
    <s v="XPG-66112-335"/>
    <x v="440"/>
    <x v="522"/>
    <s v="R-D-2.5"/>
    <n v="4"/>
    <x v="522"/>
    <s v="jchuggfp@about.me"/>
    <x v="0"/>
    <s v="Rob"/>
    <s v="D"/>
    <x v="2"/>
    <n v="20.584999999999997"/>
    <x v="18"/>
    <x v="0"/>
    <x v="2"/>
    <x v="1"/>
  </r>
  <r>
    <s v="NSQ-72210-345"/>
    <x v="441"/>
    <x v="523"/>
    <s v="A-M-0.2"/>
    <n v="6"/>
    <x v="523"/>
    <s v="akelstonfq@sakura.ne.jp"/>
    <x v="0"/>
    <s v="Ara"/>
    <s v="M"/>
    <x v="3"/>
    <n v="3.375"/>
    <x v="16"/>
    <x v="2"/>
    <x v="0"/>
    <x v="0"/>
  </r>
  <r>
    <s v="XRR-28376-277"/>
    <x v="442"/>
    <x v="524"/>
    <s v="R-L-2.5"/>
    <n v="6"/>
    <x v="524"/>
    <n v="0"/>
    <x v="1"/>
    <s v="Rob"/>
    <s v="L"/>
    <x v="2"/>
    <n v="27.484999999999996"/>
    <x v="183"/>
    <x v="0"/>
    <x v="1"/>
    <x v="1"/>
  </r>
  <r>
    <s v="WHQ-25197-475"/>
    <x v="443"/>
    <x v="525"/>
    <s v="L-L-0.2"/>
    <n v="4"/>
    <x v="525"/>
    <s v="cmottramfs@harvard.edu"/>
    <x v="0"/>
    <s v="Lib"/>
    <s v="L"/>
    <x v="3"/>
    <n v="4.7549999999999999"/>
    <x v="81"/>
    <x v="3"/>
    <x v="1"/>
    <x v="0"/>
  </r>
  <r>
    <s v="HMB-30634-745"/>
    <x v="216"/>
    <x v="520"/>
    <s v="A-D-2.5"/>
    <n v="6"/>
    <x v="520"/>
    <s v="dflintiffg1@e-recht24.de"/>
    <x v="2"/>
    <s v="Ara"/>
    <s v="D"/>
    <x v="2"/>
    <n v="22.884999999999998"/>
    <x v="170"/>
    <x v="2"/>
    <x v="2"/>
    <x v="1"/>
  </r>
  <r>
    <s v="XTL-68000-371"/>
    <x v="444"/>
    <x v="526"/>
    <s v="A-M-0.5"/>
    <n v="4"/>
    <x v="526"/>
    <s v="dsangwinfu@weebly.com"/>
    <x v="0"/>
    <s v="Ara"/>
    <s v="M"/>
    <x v="1"/>
    <n v="6.75"/>
    <x v="25"/>
    <x v="2"/>
    <x v="0"/>
    <x v="1"/>
  </r>
  <r>
    <s v="YES-51109-625"/>
    <x v="37"/>
    <x v="527"/>
    <s v="E-L-0.5"/>
    <n v="4"/>
    <x v="527"/>
    <s v="eaizikowitzfv@virginia.edu"/>
    <x v="2"/>
    <s v="Exc"/>
    <s v="L"/>
    <x v="1"/>
    <n v="8.91"/>
    <x v="70"/>
    <x v="1"/>
    <x v="1"/>
    <x v="1"/>
  </r>
  <r>
    <s v="EAY-89850-211"/>
    <x v="445"/>
    <x v="528"/>
    <s v="A-D-0.2"/>
    <n v="2"/>
    <x v="528"/>
    <n v="0"/>
    <x v="0"/>
    <s v="Ara"/>
    <s v="D"/>
    <x v="3"/>
    <n v="2.9849999999999999"/>
    <x v="9"/>
    <x v="2"/>
    <x v="2"/>
    <x v="0"/>
  </r>
  <r>
    <s v="IOQ-84840-827"/>
    <x v="446"/>
    <x v="529"/>
    <s v="A-M-1"/>
    <n v="6"/>
    <x v="529"/>
    <s v="cvenourfx@ask.com"/>
    <x v="0"/>
    <s v="Ara"/>
    <s v="M"/>
    <x v="0"/>
    <n v="11.25"/>
    <x v="173"/>
    <x v="2"/>
    <x v="0"/>
    <x v="1"/>
  </r>
  <r>
    <s v="FBD-56220-430"/>
    <x v="245"/>
    <x v="530"/>
    <s v="R-L-0.2"/>
    <n v="6"/>
    <x v="530"/>
    <s v="mharbyfy@163.com"/>
    <x v="0"/>
    <s v="Rob"/>
    <s v="L"/>
    <x v="3"/>
    <n v="3.5849999999999995"/>
    <x v="137"/>
    <x v="0"/>
    <x v="1"/>
    <x v="0"/>
  </r>
  <r>
    <s v="COV-52659-202"/>
    <x v="447"/>
    <x v="531"/>
    <s v="L-M-2.5"/>
    <n v="2"/>
    <x v="531"/>
    <s v="rthickpennyfz@cafepress.com"/>
    <x v="0"/>
    <s v="Lib"/>
    <s v="M"/>
    <x v="2"/>
    <n v="33.464999999999996"/>
    <x v="174"/>
    <x v="3"/>
    <x v="0"/>
    <x v="1"/>
  </r>
  <r>
    <s v="YUO-76652-814"/>
    <x v="448"/>
    <x v="532"/>
    <s v="A-D-0.2"/>
    <n v="6"/>
    <x v="532"/>
    <s v="pormerodg0@redcross.org"/>
    <x v="0"/>
    <s v="Ara"/>
    <s v="D"/>
    <x v="3"/>
    <n v="2.9849999999999999"/>
    <x v="8"/>
    <x v="2"/>
    <x v="2"/>
    <x v="1"/>
  </r>
  <r>
    <s v="PBT-36926-102"/>
    <x v="344"/>
    <x v="520"/>
    <s v="L-M-1"/>
    <n v="4"/>
    <x v="520"/>
    <s v="dflintiffg1@e-recht24.de"/>
    <x v="2"/>
    <s v="Lib"/>
    <s v="M"/>
    <x v="0"/>
    <n v="14.55"/>
    <x v="125"/>
    <x v="3"/>
    <x v="0"/>
    <x v="1"/>
  </r>
  <r>
    <s v="BLV-60087-454"/>
    <x v="152"/>
    <x v="533"/>
    <s v="E-L-0.2"/>
    <n v="3"/>
    <x v="533"/>
    <s v="tzanettig2@gravatar.com"/>
    <x v="1"/>
    <s v="Exc"/>
    <s v="L"/>
    <x v="3"/>
    <n v="4.4550000000000001"/>
    <x v="77"/>
    <x v="1"/>
    <x v="1"/>
    <x v="1"/>
  </r>
  <r>
    <s v="BLV-60087-454"/>
    <x v="152"/>
    <x v="533"/>
    <s v="A-M-0.5"/>
    <n v="5"/>
    <x v="533"/>
    <s v="tzanettig2@gravatar.com"/>
    <x v="1"/>
    <s v="Ara"/>
    <s v="M"/>
    <x v="1"/>
    <n v="6.75"/>
    <x v="65"/>
    <x v="2"/>
    <x v="0"/>
    <x v="1"/>
  </r>
  <r>
    <s v="QYC-63914-195"/>
    <x v="449"/>
    <x v="534"/>
    <s v="E-L-1"/>
    <n v="3"/>
    <x v="534"/>
    <s v="rkirtleyg4@hatena.ne.jp"/>
    <x v="0"/>
    <s v="Exc"/>
    <s v="L"/>
    <x v="0"/>
    <n v="14.85"/>
    <x v="69"/>
    <x v="1"/>
    <x v="1"/>
    <x v="0"/>
  </r>
  <r>
    <s v="OIB-77163-890"/>
    <x v="450"/>
    <x v="535"/>
    <s v="E-L-0.5"/>
    <n v="5"/>
    <x v="535"/>
    <s v="cclemencetg5@weather.com"/>
    <x v="2"/>
    <s v="Exc"/>
    <s v="L"/>
    <x v="1"/>
    <n v="8.91"/>
    <x v="69"/>
    <x v="1"/>
    <x v="1"/>
    <x v="0"/>
  </r>
  <r>
    <s v="SGS-87525-238"/>
    <x v="451"/>
    <x v="536"/>
    <s v="E-D-1"/>
    <n v="5"/>
    <x v="536"/>
    <s v="rdonetg6@oakley.com"/>
    <x v="0"/>
    <s v="Exc"/>
    <s v="D"/>
    <x v="0"/>
    <n v="12.15"/>
    <x v="184"/>
    <x v="1"/>
    <x v="2"/>
    <x v="1"/>
  </r>
  <r>
    <s v="GQR-12490-152"/>
    <x v="83"/>
    <x v="537"/>
    <s v="R-L-0.2"/>
    <n v="1"/>
    <x v="537"/>
    <s v="sgaweng7@creativecommons.org"/>
    <x v="0"/>
    <s v="Rob"/>
    <s v="L"/>
    <x v="3"/>
    <n v="3.5849999999999995"/>
    <x v="60"/>
    <x v="0"/>
    <x v="1"/>
    <x v="0"/>
  </r>
  <r>
    <s v="UOJ-28238-299"/>
    <x v="452"/>
    <x v="538"/>
    <s v="R-L-0.2"/>
    <n v="6"/>
    <x v="538"/>
    <s v="rreadieg8@guardian.co.uk"/>
    <x v="0"/>
    <s v="Rob"/>
    <s v="L"/>
    <x v="3"/>
    <n v="3.5849999999999995"/>
    <x v="137"/>
    <x v="0"/>
    <x v="1"/>
    <x v="1"/>
  </r>
  <r>
    <s v="ETD-58130-674"/>
    <x v="453"/>
    <x v="539"/>
    <s v="E-M-0.5"/>
    <n v="2"/>
    <x v="539"/>
    <s v="cverissimogh@theglobeandmail.com"/>
    <x v="2"/>
    <s v="Exc"/>
    <s v="M"/>
    <x v="1"/>
    <n v="8.25"/>
    <x v="38"/>
    <x v="1"/>
    <x v="0"/>
    <x v="0"/>
  </r>
  <r>
    <s v="UPF-60123-025"/>
    <x v="454"/>
    <x v="540"/>
    <s v="R-L-2.5"/>
    <n v="3"/>
    <x v="540"/>
    <n v="0"/>
    <x v="0"/>
    <s v="Rob"/>
    <s v="L"/>
    <x v="2"/>
    <n v="27.484999999999996"/>
    <x v="185"/>
    <x v="0"/>
    <x v="1"/>
    <x v="1"/>
  </r>
  <r>
    <s v="NQS-01613-687"/>
    <x v="455"/>
    <x v="541"/>
    <s v="L-D-0.5"/>
    <n v="1"/>
    <x v="541"/>
    <s v="bogb@elpais.com"/>
    <x v="0"/>
    <s v="Lib"/>
    <s v="D"/>
    <x v="1"/>
    <n v="7.77"/>
    <x v="41"/>
    <x v="3"/>
    <x v="2"/>
    <x v="0"/>
  </r>
  <r>
    <s v="MGH-36050-573"/>
    <x v="456"/>
    <x v="542"/>
    <s v="R-M-0.5"/>
    <n v="2"/>
    <x v="542"/>
    <s v="vstansburygc@unblog.fr"/>
    <x v="0"/>
    <s v="Rob"/>
    <s v="M"/>
    <x v="1"/>
    <n v="5.97"/>
    <x v="22"/>
    <x v="0"/>
    <x v="0"/>
    <x v="0"/>
  </r>
  <r>
    <s v="UVF-59322-459"/>
    <x v="373"/>
    <x v="543"/>
    <s v="E-L-2.5"/>
    <n v="6"/>
    <x v="543"/>
    <s v="dheinonengd@printfriendly.com"/>
    <x v="0"/>
    <s v="Exc"/>
    <s v="L"/>
    <x v="2"/>
    <n v="34.154999999999994"/>
    <x v="106"/>
    <x v="1"/>
    <x v="1"/>
    <x v="1"/>
  </r>
  <r>
    <s v="VET-41158-896"/>
    <x v="457"/>
    <x v="544"/>
    <s v="E-M-2.5"/>
    <n v="2"/>
    <x v="544"/>
    <s v="jshentonge@google.com.hk"/>
    <x v="0"/>
    <s v="Exc"/>
    <s v="M"/>
    <x v="2"/>
    <n v="31.624999999999996"/>
    <x v="40"/>
    <x v="1"/>
    <x v="0"/>
    <x v="0"/>
  </r>
  <r>
    <s v="XYL-52196-459"/>
    <x v="458"/>
    <x v="545"/>
    <s v="R-D-0.2"/>
    <n v="3"/>
    <x v="545"/>
    <s v="jwilkissongf@nba.com"/>
    <x v="0"/>
    <s v="Rob"/>
    <s v="D"/>
    <x v="3"/>
    <n v="2.6849999999999996"/>
    <x v="36"/>
    <x v="0"/>
    <x v="2"/>
    <x v="0"/>
  </r>
  <r>
    <s v="BPZ-51283-916"/>
    <x v="264"/>
    <x v="546"/>
    <s v="A-M-2.5"/>
    <n v="2"/>
    <x v="546"/>
    <n v="0"/>
    <x v="0"/>
    <s v="Ara"/>
    <s v="M"/>
    <x v="2"/>
    <n v="25.874999999999996"/>
    <x v="95"/>
    <x v="2"/>
    <x v="0"/>
    <x v="1"/>
  </r>
  <r>
    <s v="VQW-91903-926"/>
    <x v="459"/>
    <x v="539"/>
    <s v="E-D-2.5"/>
    <n v="1"/>
    <x v="539"/>
    <s v="cverissimogh@theglobeandmail.com"/>
    <x v="2"/>
    <s v="Exc"/>
    <s v="D"/>
    <x v="2"/>
    <n v="27.945"/>
    <x v="140"/>
    <x v="1"/>
    <x v="2"/>
    <x v="0"/>
  </r>
  <r>
    <s v="OLF-77983-457"/>
    <x v="460"/>
    <x v="547"/>
    <s v="A-L-2.5"/>
    <n v="2"/>
    <x v="547"/>
    <s v="gstarcksgi@abc.net.au"/>
    <x v="0"/>
    <s v="Ara"/>
    <s v="L"/>
    <x v="2"/>
    <n v="29.784999999999997"/>
    <x v="120"/>
    <x v="2"/>
    <x v="1"/>
    <x v="1"/>
  </r>
  <r>
    <s v="MVI-04946-827"/>
    <x v="461"/>
    <x v="548"/>
    <s v="E-L-1"/>
    <n v="1"/>
    <x v="548"/>
    <n v="0"/>
    <x v="2"/>
    <s v="Exc"/>
    <s v="L"/>
    <x v="0"/>
    <n v="14.85"/>
    <x v="151"/>
    <x v="1"/>
    <x v="1"/>
    <x v="1"/>
  </r>
  <r>
    <s v="UOG-94188-104"/>
    <x v="219"/>
    <x v="549"/>
    <s v="A-M-0.5"/>
    <n v="5"/>
    <x v="549"/>
    <s v="kscholardgk@sbwire.com"/>
    <x v="0"/>
    <s v="Ara"/>
    <s v="M"/>
    <x v="1"/>
    <n v="6.75"/>
    <x v="65"/>
    <x v="2"/>
    <x v="0"/>
    <x v="1"/>
  </r>
  <r>
    <s v="DSN-15872-519"/>
    <x v="462"/>
    <x v="550"/>
    <s v="L-L-2.5"/>
    <n v="4"/>
    <x v="550"/>
    <s v="bkindleygl@wikimedia.org"/>
    <x v="0"/>
    <s v="Lib"/>
    <s v="L"/>
    <x v="2"/>
    <n v="36.454999999999998"/>
    <x v="43"/>
    <x v="3"/>
    <x v="1"/>
    <x v="0"/>
  </r>
  <r>
    <s v="OUQ-73954-002"/>
    <x v="463"/>
    <x v="551"/>
    <s v="R-M-0.2"/>
    <n v="4"/>
    <x v="551"/>
    <s v="khammettgm@dmoz.org"/>
    <x v="0"/>
    <s v="Rob"/>
    <s v="M"/>
    <x v="3"/>
    <n v="2.9849999999999999"/>
    <x v="22"/>
    <x v="0"/>
    <x v="0"/>
    <x v="0"/>
  </r>
  <r>
    <s v="LGL-16843-667"/>
    <x v="464"/>
    <x v="552"/>
    <s v="A-D-0.2"/>
    <n v="4"/>
    <x v="552"/>
    <s v="ahulburtgn@fda.gov"/>
    <x v="0"/>
    <s v="Ara"/>
    <s v="D"/>
    <x v="3"/>
    <n v="2.9849999999999999"/>
    <x v="22"/>
    <x v="2"/>
    <x v="2"/>
    <x v="0"/>
  </r>
  <r>
    <s v="TCC-89722-031"/>
    <x v="465"/>
    <x v="553"/>
    <s v="L-D-0.5"/>
    <n v="1"/>
    <x v="553"/>
    <s v="plauritzengo@photobucket.com"/>
    <x v="0"/>
    <s v="Lib"/>
    <s v="D"/>
    <x v="1"/>
    <n v="7.77"/>
    <x v="41"/>
    <x v="3"/>
    <x v="2"/>
    <x v="1"/>
  </r>
  <r>
    <s v="TRA-79507-007"/>
    <x v="466"/>
    <x v="554"/>
    <s v="R-L-2.5"/>
    <n v="4"/>
    <x v="554"/>
    <s v="aburgwingp@redcross.org"/>
    <x v="0"/>
    <s v="Rob"/>
    <s v="L"/>
    <x v="2"/>
    <n v="27.484999999999996"/>
    <x v="108"/>
    <x v="0"/>
    <x v="1"/>
    <x v="0"/>
  </r>
  <r>
    <s v="MZJ-77284-941"/>
    <x v="467"/>
    <x v="555"/>
    <s v="E-L-0.2"/>
    <n v="5"/>
    <x v="555"/>
    <s v="erolingq@google.fr"/>
    <x v="0"/>
    <s v="Exc"/>
    <s v="L"/>
    <x v="3"/>
    <n v="4.4550000000000001"/>
    <x v="110"/>
    <x v="1"/>
    <x v="1"/>
    <x v="0"/>
  </r>
  <r>
    <s v="AXN-57779-891"/>
    <x v="468"/>
    <x v="556"/>
    <s v="R-M-0.2"/>
    <n v="3"/>
    <x v="556"/>
    <s v="dfowlegr@epa.gov"/>
    <x v="0"/>
    <s v="Rob"/>
    <s v="M"/>
    <x v="3"/>
    <n v="2.9849999999999999"/>
    <x v="169"/>
    <x v="0"/>
    <x v="0"/>
    <x v="1"/>
  </r>
  <r>
    <s v="PJB-15659-994"/>
    <x v="469"/>
    <x v="557"/>
    <s v="L-D-2.5"/>
    <n v="4"/>
    <x v="557"/>
    <n v="0"/>
    <x v="1"/>
    <s v="Lib"/>
    <s v="D"/>
    <x v="2"/>
    <n v="29.784999999999997"/>
    <x v="129"/>
    <x v="3"/>
    <x v="2"/>
    <x v="1"/>
  </r>
  <r>
    <s v="LTS-03470-353"/>
    <x v="470"/>
    <x v="558"/>
    <s v="A-L-2.5"/>
    <n v="5"/>
    <x v="558"/>
    <s v="wpowleslandgt@soundcloud.com"/>
    <x v="0"/>
    <s v="Ara"/>
    <s v="L"/>
    <x v="2"/>
    <n v="29.784999999999997"/>
    <x v="74"/>
    <x v="2"/>
    <x v="1"/>
    <x v="0"/>
  </r>
  <r>
    <s v="UMM-28497-689"/>
    <x v="471"/>
    <x v="539"/>
    <s v="L-L-2.5"/>
    <n v="3"/>
    <x v="539"/>
    <s v="cverissimogh@theglobeandmail.com"/>
    <x v="2"/>
    <s v="Lib"/>
    <s v="L"/>
    <x v="2"/>
    <n v="36.454999999999998"/>
    <x v="63"/>
    <x v="3"/>
    <x v="1"/>
    <x v="0"/>
  </r>
  <r>
    <s v="MJZ-93232-402"/>
    <x v="472"/>
    <x v="559"/>
    <s v="E-D-0.2"/>
    <n v="1"/>
    <x v="559"/>
    <s v="lellinghamgv@sciencedaily.com"/>
    <x v="0"/>
    <s v="Exc"/>
    <s v="D"/>
    <x v="3"/>
    <n v="3.645"/>
    <x v="186"/>
    <x v="1"/>
    <x v="2"/>
    <x v="0"/>
  </r>
  <r>
    <s v="UHW-74617-126"/>
    <x v="173"/>
    <x v="560"/>
    <s v="E-D-2.5"/>
    <n v="2"/>
    <x v="560"/>
    <n v="0"/>
    <x v="0"/>
    <s v="Exc"/>
    <s v="D"/>
    <x v="2"/>
    <n v="27.945"/>
    <x v="158"/>
    <x v="1"/>
    <x v="2"/>
    <x v="1"/>
  </r>
  <r>
    <s v="RIK-61730-794"/>
    <x v="473"/>
    <x v="561"/>
    <s v="L-M-0.2"/>
    <n v="6"/>
    <x v="561"/>
    <s v="afendtgx@forbes.com"/>
    <x v="0"/>
    <s v="Lib"/>
    <s v="M"/>
    <x v="3"/>
    <n v="4.3650000000000002"/>
    <x v="50"/>
    <x v="3"/>
    <x v="0"/>
    <x v="0"/>
  </r>
  <r>
    <s v="IDJ-55379-750"/>
    <x v="474"/>
    <x v="562"/>
    <s v="R-M-1"/>
    <n v="4"/>
    <x v="562"/>
    <s v="acleyburngy@lycos.com"/>
    <x v="0"/>
    <s v="Rob"/>
    <s v="M"/>
    <x v="0"/>
    <n v="9.9499999999999993"/>
    <x v="10"/>
    <x v="0"/>
    <x v="0"/>
    <x v="1"/>
  </r>
  <r>
    <s v="OHX-11953-965"/>
    <x v="475"/>
    <x v="563"/>
    <s v="E-L-2.5"/>
    <n v="2"/>
    <x v="563"/>
    <s v="tcastiglionegz@xing.com"/>
    <x v="0"/>
    <s v="Exc"/>
    <s v="L"/>
    <x v="2"/>
    <n v="34.154999999999994"/>
    <x v="93"/>
    <x v="1"/>
    <x v="1"/>
    <x v="1"/>
  </r>
  <r>
    <s v="TVV-42245-088"/>
    <x v="476"/>
    <x v="564"/>
    <s v="A-M-0.2"/>
    <n v="4"/>
    <x v="564"/>
    <n v="0"/>
    <x v="1"/>
    <s v="Ara"/>
    <s v="M"/>
    <x v="3"/>
    <n v="3.375"/>
    <x v="72"/>
    <x v="2"/>
    <x v="0"/>
    <x v="1"/>
  </r>
  <r>
    <s v="DYP-74337-787"/>
    <x v="431"/>
    <x v="565"/>
    <s v="R-M-0.5"/>
    <n v="1"/>
    <x v="565"/>
    <n v="0"/>
    <x v="0"/>
    <s v="Rob"/>
    <s v="M"/>
    <x v="1"/>
    <n v="5.97"/>
    <x v="9"/>
    <x v="0"/>
    <x v="0"/>
    <x v="1"/>
  </r>
  <r>
    <s v="OKA-93124-100"/>
    <x v="477"/>
    <x v="539"/>
    <s v="R-M-0.5"/>
    <n v="5"/>
    <x v="539"/>
    <s v="cverissimogh@theglobeandmail.com"/>
    <x v="2"/>
    <s v="Rob"/>
    <s v="M"/>
    <x v="1"/>
    <n v="5.97"/>
    <x v="44"/>
    <x v="0"/>
    <x v="0"/>
    <x v="0"/>
  </r>
  <r>
    <s v="IXW-20780-268"/>
    <x v="478"/>
    <x v="566"/>
    <s v="L-L-2.5"/>
    <n v="2"/>
    <x v="566"/>
    <s v="scouronneh3@mozilla.org"/>
    <x v="0"/>
    <s v="Lib"/>
    <s v="L"/>
    <x v="2"/>
    <n v="36.454999999999998"/>
    <x v="37"/>
    <x v="3"/>
    <x v="1"/>
    <x v="0"/>
  </r>
  <r>
    <s v="NGG-24006-937"/>
    <x v="45"/>
    <x v="567"/>
    <s v="E-M-2.5"/>
    <n v="4"/>
    <x v="567"/>
    <s v="lflippellih4@github.io"/>
    <x v="2"/>
    <s v="Exc"/>
    <s v="M"/>
    <x v="2"/>
    <n v="31.624999999999996"/>
    <x v="177"/>
    <x v="1"/>
    <x v="0"/>
    <x v="1"/>
  </r>
  <r>
    <s v="JZC-31180-557"/>
    <x v="444"/>
    <x v="568"/>
    <s v="L-M-2.5"/>
    <n v="1"/>
    <x v="568"/>
    <s v="relizabethh5@live.com"/>
    <x v="0"/>
    <s v="Lib"/>
    <s v="M"/>
    <x v="2"/>
    <n v="33.464999999999996"/>
    <x v="116"/>
    <x v="3"/>
    <x v="0"/>
    <x v="1"/>
  </r>
  <r>
    <s v="ZMU-63715-204"/>
    <x v="479"/>
    <x v="569"/>
    <s v="E-D-1"/>
    <n v="6"/>
    <x v="569"/>
    <s v="irenhardh6@i2i.jp"/>
    <x v="0"/>
    <s v="Exc"/>
    <s v="D"/>
    <x v="0"/>
    <n v="12.15"/>
    <x v="118"/>
    <x v="1"/>
    <x v="2"/>
    <x v="0"/>
  </r>
  <r>
    <s v="GND-08192-056"/>
    <x v="480"/>
    <x v="570"/>
    <s v="L-D-0.5"/>
    <n v="2"/>
    <x v="570"/>
    <s v="wrocheh7@xinhuanet.com"/>
    <x v="0"/>
    <s v="Lib"/>
    <s v="D"/>
    <x v="1"/>
    <n v="7.77"/>
    <x v="42"/>
    <x v="3"/>
    <x v="2"/>
    <x v="0"/>
  </r>
  <r>
    <s v="RYY-38961-093"/>
    <x v="481"/>
    <x v="571"/>
    <s v="A-M-0.2"/>
    <n v="6"/>
    <x v="571"/>
    <s v="lalawayhh@weather.com"/>
    <x v="0"/>
    <s v="Ara"/>
    <s v="M"/>
    <x v="3"/>
    <n v="3.375"/>
    <x v="16"/>
    <x v="2"/>
    <x v="0"/>
    <x v="1"/>
  </r>
  <r>
    <s v="CVA-64996-969"/>
    <x v="478"/>
    <x v="572"/>
    <s v="A-L-1"/>
    <n v="6"/>
    <x v="572"/>
    <s v="codgaardh9@nsw.gov.au"/>
    <x v="0"/>
    <s v="Ara"/>
    <s v="L"/>
    <x v="0"/>
    <n v="12.95"/>
    <x v="17"/>
    <x v="2"/>
    <x v="1"/>
    <x v="1"/>
  </r>
  <r>
    <s v="XTH-67276-442"/>
    <x v="482"/>
    <x v="573"/>
    <s v="L-M-2.5"/>
    <n v="4"/>
    <x v="573"/>
    <s v="bbyrdha@4shared.com"/>
    <x v="0"/>
    <s v="Lib"/>
    <s v="M"/>
    <x v="2"/>
    <n v="33.464999999999996"/>
    <x v="136"/>
    <x v="3"/>
    <x v="0"/>
    <x v="1"/>
  </r>
  <r>
    <s v="PVU-02950-470"/>
    <x v="353"/>
    <x v="574"/>
    <s v="E-D-1"/>
    <n v="1"/>
    <x v="574"/>
    <n v="0"/>
    <x v="2"/>
    <s v="Exc"/>
    <s v="D"/>
    <x v="0"/>
    <n v="12.15"/>
    <x v="87"/>
    <x v="1"/>
    <x v="2"/>
    <x v="1"/>
  </r>
  <r>
    <s v="XSN-26809-910"/>
    <x v="199"/>
    <x v="575"/>
    <s v="E-M-2.5"/>
    <n v="2"/>
    <x v="575"/>
    <s v="dchardinhc@nhs.uk"/>
    <x v="1"/>
    <s v="Exc"/>
    <s v="M"/>
    <x v="2"/>
    <n v="31.624999999999996"/>
    <x v="40"/>
    <x v="1"/>
    <x v="0"/>
    <x v="0"/>
  </r>
  <r>
    <s v="UDN-88321-005"/>
    <x v="372"/>
    <x v="576"/>
    <s v="R-L-0.5"/>
    <n v="5"/>
    <x v="576"/>
    <s v="hradbonehd@newsvine.com"/>
    <x v="0"/>
    <s v="Rob"/>
    <s v="L"/>
    <x v="1"/>
    <n v="7.169999999999999"/>
    <x v="66"/>
    <x v="0"/>
    <x v="1"/>
    <x v="1"/>
  </r>
  <r>
    <s v="EXP-21628-670"/>
    <x v="267"/>
    <x v="577"/>
    <s v="A-M-2.5"/>
    <n v="3"/>
    <x v="577"/>
    <s v="wbernthhe@miitbeian.gov.cn"/>
    <x v="0"/>
    <s v="Ara"/>
    <s v="M"/>
    <x v="2"/>
    <n v="25.874999999999996"/>
    <x v="57"/>
    <x v="2"/>
    <x v="0"/>
    <x v="1"/>
  </r>
  <r>
    <s v="VGM-24161-361"/>
    <x v="480"/>
    <x v="578"/>
    <s v="E-M-2.5"/>
    <n v="2"/>
    <x v="578"/>
    <s v="bacarsonhf@cnn.com"/>
    <x v="0"/>
    <s v="Exc"/>
    <s v="M"/>
    <x v="2"/>
    <n v="31.624999999999996"/>
    <x v="40"/>
    <x v="1"/>
    <x v="0"/>
    <x v="0"/>
  </r>
  <r>
    <s v="PKN-19556-918"/>
    <x v="483"/>
    <x v="579"/>
    <s v="E-L-0.2"/>
    <n v="6"/>
    <x v="579"/>
    <s v="fbrighamhg@blog.com"/>
    <x v="1"/>
    <s v="Exc"/>
    <s v="L"/>
    <x v="3"/>
    <n v="4.4550000000000001"/>
    <x v="149"/>
    <x v="1"/>
    <x v="1"/>
    <x v="0"/>
  </r>
  <r>
    <s v="PKN-19556-918"/>
    <x v="483"/>
    <x v="579"/>
    <s v="L-D-0.5"/>
    <n v="4"/>
    <x v="579"/>
    <s v="fbrighamhg@blog.com"/>
    <x v="1"/>
    <s v="Lib"/>
    <s v="D"/>
    <x v="1"/>
    <n v="7.77"/>
    <x v="113"/>
    <x v="3"/>
    <x v="2"/>
    <x v="0"/>
  </r>
  <r>
    <s v="PKN-19556-918"/>
    <x v="483"/>
    <x v="579"/>
    <s v="A-D-0.2"/>
    <n v="1"/>
    <x v="579"/>
    <s v="fbrighamhg@blog.com"/>
    <x v="1"/>
    <s v="Ara"/>
    <s v="D"/>
    <x v="3"/>
    <n v="2.9849999999999999"/>
    <x v="55"/>
    <x v="2"/>
    <x v="2"/>
    <x v="0"/>
  </r>
  <r>
    <s v="PKN-19556-918"/>
    <x v="483"/>
    <x v="579"/>
    <s v="R-D-2.5"/>
    <n v="5"/>
    <x v="579"/>
    <s v="fbrighamhg@blog.com"/>
    <x v="1"/>
    <s v="Rob"/>
    <s v="D"/>
    <x v="2"/>
    <n v="20.584999999999997"/>
    <x v="182"/>
    <x v="0"/>
    <x v="2"/>
    <x v="0"/>
  </r>
  <r>
    <s v="DXQ-44537-297"/>
    <x v="484"/>
    <x v="580"/>
    <s v="E-L-0.5"/>
    <n v="4"/>
    <x v="580"/>
    <s v="myoxenhk@google.com"/>
    <x v="0"/>
    <s v="Exc"/>
    <s v="L"/>
    <x v="1"/>
    <n v="8.91"/>
    <x v="70"/>
    <x v="1"/>
    <x v="1"/>
    <x v="1"/>
  </r>
  <r>
    <s v="BPC-54727-307"/>
    <x v="485"/>
    <x v="581"/>
    <s v="R-L-1"/>
    <n v="4"/>
    <x v="581"/>
    <s v="gmcgavinhl@histats.com"/>
    <x v="0"/>
    <s v="Rob"/>
    <s v="L"/>
    <x v="0"/>
    <n v="11.95"/>
    <x v="62"/>
    <x v="0"/>
    <x v="1"/>
    <x v="1"/>
  </r>
  <r>
    <s v="KSH-47717-456"/>
    <x v="486"/>
    <x v="582"/>
    <s v="L-M-1"/>
    <n v="3"/>
    <x v="582"/>
    <s v="luttermarehm@engadget.com"/>
    <x v="0"/>
    <s v="Lib"/>
    <s v="M"/>
    <x v="0"/>
    <n v="14.55"/>
    <x v="34"/>
    <x v="3"/>
    <x v="0"/>
    <x v="1"/>
  </r>
  <r>
    <s v="ANK-59436-446"/>
    <x v="487"/>
    <x v="583"/>
    <s v="E-L-0.5"/>
    <n v="4"/>
    <x v="583"/>
    <s v="edambrogiohn@techcrunch.com"/>
    <x v="0"/>
    <s v="Exc"/>
    <s v="L"/>
    <x v="1"/>
    <n v="8.91"/>
    <x v="70"/>
    <x v="1"/>
    <x v="1"/>
    <x v="0"/>
  </r>
  <r>
    <s v="AYY-83051-752"/>
    <x v="488"/>
    <x v="584"/>
    <s v="L-L-1"/>
    <n v="6"/>
    <x v="584"/>
    <s v="cwinchcombeho@jiathis.com"/>
    <x v="0"/>
    <s v="Lib"/>
    <s v="L"/>
    <x v="0"/>
    <n v="15.85"/>
    <x v="179"/>
    <x v="3"/>
    <x v="1"/>
    <x v="0"/>
  </r>
  <r>
    <s v="CSW-59644-267"/>
    <x v="489"/>
    <x v="585"/>
    <s v="E-M-2.5"/>
    <n v="1"/>
    <x v="585"/>
    <s v="bpaumierhp@umn.edu"/>
    <x v="1"/>
    <s v="Exc"/>
    <s v="M"/>
    <x v="2"/>
    <n v="31.624999999999996"/>
    <x v="176"/>
    <x v="1"/>
    <x v="0"/>
    <x v="0"/>
  </r>
  <r>
    <s v="ITY-92466-909"/>
    <x v="162"/>
    <x v="586"/>
    <s v="A-M-2.5"/>
    <n v="3"/>
    <x v="586"/>
    <n v="0"/>
    <x v="1"/>
    <s v="Ara"/>
    <s v="M"/>
    <x v="2"/>
    <n v="25.874999999999996"/>
    <x v="57"/>
    <x v="2"/>
    <x v="0"/>
    <x v="0"/>
  </r>
  <r>
    <s v="IGW-04801-466"/>
    <x v="490"/>
    <x v="587"/>
    <s v="L-D-0.2"/>
    <n v="1"/>
    <x v="587"/>
    <s v="jcapeyhr@bravesites.com"/>
    <x v="0"/>
    <s v="Lib"/>
    <s v="D"/>
    <x v="3"/>
    <n v="3.8849999999999998"/>
    <x v="84"/>
    <x v="3"/>
    <x v="2"/>
    <x v="0"/>
  </r>
  <r>
    <s v="LJN-34281-921"/>
    <x v="491"/>
    <x v="588"/>
    <s v="R-L-2.5"/>
    <n v="5"/>
    <x v="588"/>
    <s v="tmathonneti0@google.co.jp"/>
    <x v="0"/>
    <s v="Rob"/>
    <s v="L"/>
    <x v="2"/>
    <n v="27.484999999999996"/>
    <x v="187"/>
    <x v="0"/>
    <x v="1"/>
    <x v="1"/>
  </r>
  <r>
    <s v="BWZ-46364-547"/>
    <x v="301"/>
    <x v="589"/>
    <s v="R-L-1"/>
    <n v="3"/>
    <x v="589"/>
    <s v="ybasillht@theguardian.com"/>
    <x v="0"/>
    <s v="Rob"/>
    <s v="L"/>
    <x v="0"/>
    <n v="11.95"/>
    <x v="66"/>
    <x v="0"/>
    <x v="1"/>
    <x v="0"/>
  </r>
  <r>
    <s v="SBC-95710-706"/>
    <x v="194"/>
    <x v="590"/>
    <s v="E-M-0.2"/>
    <n v="2"/>
    <x v="590"/>
    <s v="mbaistowhu@i2i.jp"/>
    <x v="2"/>
    <s v="Exc"/>
    <s v="M"/>
    <x v="3"/>
    <n v="4.125"/>
    <x v="112"/>
    <x v="1"/>
    <x v="0"/>
    <x v="0"/>
  </r>
  <r>
    <s v="WRN-55114-031"/>
    <x v="26"/>
    <x v="591"/>
    <s v="E-L-2.5"/>
    <n v="3"/>
    <x v="591"/>
    <s v="cpallanthv@typepad.com"/>
    <x v="0"/>
    <s v="Exc"/>
    <s v="L"/>
    <x v="2"/>
    <n v="34.154999999999994"/>
    <x v="89"/>
    <x v="1"/>
    <x v="1"/>
    <x v="0"/>
  </r>
  <r>
    <s v="TZU-64255-831"/>
    <x v="125"/>
    <x v="592"/>
    <s v="R-D-2.5"/>
    <n v="2"/>
    <x v="592"/>
    <n v="0"/>
    <x v="0"/>
    <s v="Rob"/>
    <s v="D"/>
    <x v="2"/>
    <n v="20.584999999999997"/>
    <x v="13"/>
    <x v="0"/>
    <x v="2"/>
    <x v="1"/>
  </r>
  <r>
    <s v="JVF-91003-729"/>
    <x v="492"/>
    <x v="593"/>
    <s v="A-D-2.5"/>
    <n v="3"/>
    <x v="593"/>
    <s v="dohx@redcross.org"/>
    <x v="0"/>
    <s v="Ara"/>
    <s v="D"/>
    <x v="2"/>
    <n v="22.884999999999998"/>
    <x v="96"/>
    <x v="2"/>
    <x v="2"/>
    <x v="0"/>
  </r>
  <r>
    <s v="MVB-22135-665"/>
    <x v="462"/>
    <x v="594"/>
    <s v="A-D-1"/>
    <n v="1"/>
    <x v="594"/>
    <s v="drallinhy@howstuffworks.com"/>
    <x v="0"/>
    <s v="Ara"/>
    <s v="D"/>
    <x v="0"/>
    <n v="9.9499999999999993"/>
    <x v="138"/>
    <x v="2"/>
    <x v="2"/>
    <x v="0"/>
  </r>
  <r>
    <s v="CKS-47815-571"/>
    <x v="493"/>
    <x v="595"/>
    <s v="L-L-0.5"/>
    <n v="3"/>
    <x v="595"/>
    <s v="achillhz@epa.gov"/>
    <x v="2"/>
    <s v="Lib"/>
    <s v="L"/>
    <x v="1"/>
    <n v="9.51"/>
    <x v="32"/>
    <x v="3"/>
    <x v="1"/>
    <x v="0"/>
  </r>
  <r>
    <s v="OAW-17338-101"/>
    <x v="494"/>
    <x v="588"/>
    <s v="R-D-0.2"/>
    <n v="6"/>
    <x v="588"/>
    <s v="tmathonneti0@google.co.jp"/>
    <x v="0"/>
    <s v="Rob"/>
    <s v="D"/>
    <x v="3"/>
    <n v="2.6849999999999996"/>
    <x v="103"/>
    <x v="0"/>
    <x v="2"/>
    <x v="1"/>
  </r>
  <r>
    <s v="ALP-37623-536"/>
    <x v="495"/>
    <x v="596"/>
    <s v="L-L-1"/>
    <n v="6"/>
    <x v="596"/>
    <s v="cdenysi1@is.gd"/>
    <x v="2"/>
    <s v="Lib"/>
    <s v="L"/>
    <x v="0"/>
    <n v="15.85"/>
    <x v="179"/>
    <x v="3"/>
    <x v="1"/>
    <x v="1"/>
  </r>
  <r>
    <s v="WMU-87639-108"/>
    <x v="496"/>
    <x v="597"/>
    <s v="R-D-0.5"/>
    <n v="1"/>
    <x v="597"/>
    <s v="cstebbingsi2@drupal.org"/>
    <x v="0"/>
    <s v="Rob"/>
    <s v="D"/>
    <x v="1"/>
    <n v="5.3699999999999992"/>
    <x v="147"/>
    <x v="0"/>
    <x v="2"/>
    <x v="0"/>
  </r>
  <r>
    <s v="USN-44968-231"/>
    <x v="497"/>
    <x v="598"/>
    <s v="R-L-1"/>
    <n v="4"/>
    <x v="598"/>
    <n v="0"/>
    <x v="0"/>
    <s v="Rob"/>
    <s v="L"/>
    <x v="0"/>
    <n v="11.95"/>
    <x v="62"/>
    <x v="0"/>
    <x v="1"/>
    <x v="1"/>
  </r>
  <r>
    <s v="YZG-20575-451"/>
    <x v="498"/>
    <x v="599"/>
    <s v="L-L-1"/>
    <n v="4"/>
    <x v="599"/>
    <s v="rzywickii4@ifeng.com"/>
    <x v="1"/>
    <s v="Lib"/>
    <s v="L"/>
    <x v="0"/>
    <n v="15.85"/>
    <x v="165"/>
    <x v="3"/>
    <x v="1"/>
    <x v="1"/>
  </r>
  <r>
    <s v="HTH-52867-812"/>
    <x v="382"/>
    <x v="600"/>
    <s v="A-M-2.5"/>
    <n v="4"/>
    <x v="600"/>
    <s v="aburgetti5@moonfruit.com"/>
    <x v="0"/>
    <s v="Ara"/>
    <s v="M"/>
    <x v="2"/>
    <n v="25.874999999999996"/>
    <x v="68"/>
    <x v="2"/>
    <x v="0"/>
    <x v="1"/>
  </r>
  <r>
    <s v="FWU-44971-444"/>
    <x v="499"/>
    <x v="601"/>
    <s v="A-D-2.5"/>
    <n v="3"/>
    <x v="601"/>
    <s v="mmalloyi6@seattletimes.com"/>
    <x v="0"/>
    <s v="Ara"/>
    <s v="D"/>
    <x v="2"/>
    <n v="22.884999999999998"/>
    <x v="96"/>
    <x v="2"/>
    <x v="2"/>
    <x v="1"/>
  </r>
  <r>
    <s v="EQI-82205-066"/>
    <x v="500"/>
    <x v="602"/>
    <s v="R-M-2.5"/>
    <n v="2"/>
    <x v="602"/>
    <s v="mmcparlandi7@w3.org"/>
    <x v="0"/>
    <s v="Rob"/>
    <s v="M"/>
    <x v="2"/>
    <n v="22.884999999999998"/>
    <x v="135"/>
    <x v="0"/>
    <x v="0"/>
    <x v="0"/>
  </r>
  <r>
    <s v="NAR-00747-074"/>
    <x v="501"/>
    <x v="603"/>
    <s v="L-D-1"/>
    <n v="4"/>
    <x v="603"/>
    <s v="sjennaroyi8@purevolume.com"/>
    <x v="0"/>
    <s v="Lib"/>
    <s v="D"/>
    <x v="0"/>
    <n v="12.95"/>
    <x v="67"/>
    <x v="3"/>
    <x v="2"/>
    <x v="1"/>
  </r>
  <r>
    <s v="JYR-22052-185"/>
    <x v="502"/>
    <x v="604"/>
    <s v="A-M-0.5"/>
    <n v="2"/>
    <x v="604"/>
    <s v="wplacei9@wsj.com"/>
    <x v="0"/>
    <s v="Ara"/>
    <s v="M"/>
    <x v="1"/>
    <n v="6.75"/>
    <x v="72"/>
    <x v="2"/>
    <x v="0"/>
    <x v="0"/>
  </r>
  <r>
    <s v="XKO-54097-932"/>
    <x v="503"/>
    <x v="605"/>
    <s v="E-M-0.5"/>
    <n v="3"/>
    <x v="605"/>
    <s v="jmillettik@addtoany.com"/>
    <x v="0"/>
    <s v="Exc"/>
    <s v="M"/>
    <x v="1"/>
    <n v="8.25"/>
    <x v="167"/>
    <x v="1"/>
    <x v="0"/>
    <x v="0"/>
  </r>
  <r>
    <s v="HXA-72415-025"/>
    <x v="504"/>
    <x v="606"/>
    <s v="A-D-2.5"/>
    <n v="2"/>
    <x v="606"/>
    <s v="dgadsdenib@google.com.hk"/>
    <x v="1"/>
    <s v="Ara"/>
    <s v="D"/>
    <x v="2"/>
    <n v="22.884999999999998"/>
    <x v="135"/>
    <x v="2"/>
    <x v="2"/>
    <x v="0"/>
  </r>
  <r>
    <s v="MJF-20065-335"/>
    <x v="497"/>
    <x v="607"/>
    <s v="E-L-0.5"/>
    <n v="6"/>
    <x v="607"/>
    <s v="vwakelinic@unesco.org"/>
    <x v="0"/>
    <s v="Exc"/>
    <s v="L"/>
    <x v="1"/>
    <n v="8.91"/>
    <x v="119"/>
    <x v="1"/>
    <x v="1"/>
    <x v="1"/>
  </r>
  <r>
    <s v="GFI-83300-059"/>
    <x v="501"/>
    <x v="608"/>
    <s v="A-M-0.2"/>
    <n v="6"/>
    <x v="608"/>
    <s v="acampsallid@zimbio.com"/>
    <x v="0"/>
    <s v="Ara"/>
    <s v="M"/>
    <x v="3"/>
    <n v="3.375"/>
    <x v="16"/>
    <x v="2"/>
    <x v="0"/>
    <x v="0"/>
  </r>
  <r>
    <s v="WJR-51493-682"/>
    <x v="1"/>
    <x v="609"/>
    <s v="L-D-2.5"/>
    <n v="5"/>
    <x v="609"/>
    <s v="smosebyie@stanford.edu"/>
    <x v="0"/>
    <s v="Lib"/>
    <s v="D"/>
    <x v="2"/>
    <n v="29.784999999999997"/>
    <x v="74"/>
    <x v="3"/>
    <x v="2"/>
    <x v="1"/>
  </r>
  <r>
    <s v="SHP-55648-472"/>
    <x v="505"/>
    <x v="610"/>
    <s v="A-M-1"/>
    <n v="6"/>
    <x v="610"/>
    <s v="cwassif@prweb.com"/>
    <x v="0"/>
    <s v="Ara"/>
    <s v="M"/>
    <x v="0"/>
    <n v="11.25"/>
    <x v="173"/>
    <x v="2"/>
    <x v="0"/>
    <x v="1"/>
  </r>
  <r>
    <s v="HYR-03455-684"/>
    <x v="506"/>
    <x v="611"/>
    <s v="E-D-1"/>
    <n v="6"/>
    <x v="611"/>
    <s v="isjostromig@pbs.org"/>
    <x v="0"/>
    <s v="Exc"/>
    <s v="D"/>
    <x v="0"/>
    <n v="12.15"/>
    <x v="118"/>
    <x v="1"/>
    <x v="2"/>
    <x v="1"/>
  </r>
  <r>
    <s v="HYR-03455-684"/>
    <x v="506"/>
    <x v="611"/>
    <s v="L-D-0.2"/>
    <n v="2"/>
    <x v="611"/>
    <s v="isjostromig@pbs.org"/>
    <x v="0"/>
    <s v="Lib"/>
    <s v="D"/>
    <x v="3"/>
    <n v="3.8849999999999998"/>
    <x v="41"/>
    <x v="3"/>
    <x v="2"/>
    <x v="1"/>
  </r>
  <r>
    <s v="HUG-52766-375"/>
    <x v="507"/>
    <x v="612"/>
    <s v="A-D-2.5"/>
    <n v="4"/>
    <x v="612"/>
    <s v="jbranchettii@bravesites.com"/>
    <x v="0"/>
    <s v="Ara"/>
    <s v="D"/>
    <x v="2"/>
    <n v="22.884999999999998"/>
    <x v="21"/>
    <x v="2"/>
    <x v="2"/>
    <x v="1"/>
  </r>
  <r>
    <s v="DAH-46595-917"/>
    <x v="508"/>
    <x v="613"/>
    <s v="A-D-1"/>
    <n v="6"/>
    <x v="613"/>
    <s v="nrudlandij@blogs.com"/>
    <x v="1"/>
    <s v="Ara"/>
    <s v="D"/>
    <x v="0"/>
    <n v="9.9499999999999993"/>
    <x v="33"/>
    <x v="2"/>
    <x v="2"/>
    <x v="1"/>
  </r>
  <r>
    <s v="VEM-79839-466"/>
    <x v="509"/>
    <x v="605"/>
    <s v="R-L-2.5"/>
    <n v="5"/>
    <x v="605"/>
    <s v="jmillettik@addtoany.com"/>
    <x v="0"/>
    <s v="Rob"/>
    <s v="L"/>
    <x v="2"/>
    <n v="27.484999999999996"/>
    <x v="187"/>
    <x v="0"/>
    <x v="1"/>
    <x v="0"/>
  </r>
  <r>
    <s v="OWH-11126-533"/>
    <x v="131"/>
    <x v="614"/>
    <s v="L-M-2.5"/>
    <n v="2"/>
    <x v="614"/>
    <s v="ftourryil@google.de"/>
    <x v="0"/>
    <s v="Lib"/>
    <s v="M"/>
    <x v="2"/>
    <n v="33.464999999999996"/>
    <x v="174"/>
    <x v="3"/>
    <x v="0"/>
    <x v="1"/>
  </r>
  <r>
    <s v="UMT-26130-151"/>
    <x v="510"/>
    <x v="615"/>
    <s v="L-M-0.2"/>
    <n v="3"/>
    <x v="615"/>
    <s v="cweatherallim@toplist.cz"/>
    <x v="0"/>
    <s v="Lib"/>
    <s v="M"/>
    <x v="3"/>
    <n v="4.3650000000000002"/>
    <x v="73"/>
    <x v="3"/>
    <x v="0"/>
    <x v="0"/>
  </r>
  <r>
    <s v="JKA-27899-806"/>
    <x v="511"/>
    <x v="616"/>
    <s v="R-L-1"/>
    <n v="5"/>
    <x v="616"/>
    <s v="gheindrickin@usda.gov"/>
    <x v="0"/>
    <s v="Rob"/>
    <s v="L"/>
    <x v="0"/>
    <n v="11.95"/>
    <x v="143"/>
    <x v="0"/>
    <x v="1"/>
    <x v="1"/>
  </r>
  <r>
    <s v="ULU-07744-724"/>
    <x v="512"/>
    <x v="617"/>
    <s v="L-M-0.5"/>
    <n v="5"/>
    <x v="617"/>
    <s v="limasonio@discuz.net"/>
    <x v="0"/>
    <s v="Lib"/>
    <s v="M"/>
    <x v="1"/>
    <n v="8.73"/>
    <x v="34"/>
    <x v="3"/>
    <x v="0"/>
    <x v="0"/>
  </r>
  <r>
    <s v="NOM-56457-507"/>
    <x v="513"/>
    <x v="618"/>
    <s v="E-M-1"/>
    <n v="6"/>
    <x v="618"/>
    <s v="hsaillip@odnoklassniki.ru"/>
    <x v="0"/>
    <s v="Exc"/>
    <s v="M"/>
    <x v="0"/>
    <n v="13.75"/>
    <x v="121"/>
    <x v="1"/>
    <x v="0"/>
    <x v="0"/>
  </r>
  <r>
    <s v="NZN-71683-705"/>
    <x v="514"/>
    <x v="619"/>
    <s v="A-L-2.5"/>
    <n v="6"/>
    <x v="619"/>
    <s v="hlarvoriq@last.fm"/>
    <x v="0"/>
    <s v="Ara"/>
    <s v="L"/>
    <x v="2"/>
    <n v="29.784999999999997"/>
    <x v="39"/>
    <x v="2"/>
    <x v="1"/>
    <x v="0"/>
  </r>
  <r>
    <s v="WMA-34232-850"/>
    <x v="7"/>
    <x v="620"/>
    <s v="L-D-2.5"/>
    <n v="4"/>
    <x v="620"/>
    <n v="0"/>
    <x v="0"/>
    <s v="Lib"/>
    <s v="D"/>
    <x v="2"/>
    <n v="29.784999999999997"/>
    <x v="129"/>
    <x v="3"/>
    <x v="2"/>
    <x v="0"/>
  </r>
  <r>
    <s v="EZL-27919-704"/>
    <x v="481"/>
    <x v="621"/>
    <s v="L-L-0.5"/>
    <n v="5"/>
    <x v="621"/>
    <n v="0"/>
    <x v="0"/>
    <s v="Lib"/>
    <s v="L"/>
    <x v="1"/>
    <n v="9.51"/>
    <x v="46"/>
    <x v="3"/>
    <x v="1"/>
    <x v="1"/>
  </r>
  <r>
    <s v="ZYU-11345-774"/>
    <x v="515"/>
    <x v="622"/>
    <s v="L-M-0.5"/>
    <n v="5"/>
    <x v="622"/>
    <s v="cpenwardenit@mlb.com"/>
    <x v="1"/>
    <s v="Lib"/>
    <s v="M"/>
    <x v="1"/>
    <n v="8.73"/>
    <x v="34"/>
    <x v="3"/>
    <x v="0"/>
    <x v="1"/>
  </r>
  <r>
    <s v="CPW-34587-459"/>
    <x v="516"/>
    <x v="623"/>
    <s v="A-L-2.5"/>
    <n v="6"/>
    <x v="623"/>
    <s v="mmiddisiu@dmoz.org"/>
    <x v="0"/>
    <s v="Ara"/>
    <s v="L"/>
    <x v="2"/>
    <n v="29.784999999999997"/>
    <x v="39"/>
    <x v="2"/>
    <x v="1"/>
    <x v="0"/>
  </r>
  <r>
    <s v="NQZ-82067-394"/>
    <x v="517"/>
    <x v="624"/>
    <s v="R-L-2.5"/>
    <n v="1"/>
    <x v="624"/>
    <s v="avairowiv@studiopress.com"/>
    <x v="2"/>
    <s v="Rob"/>
    <s v="L"/>
    <x v="2"/>
    <n v="27.484999999999996"/>
    <x v="142"/>
    <x v="0"/>
    <x v="1"/>
    <x v="1"/>
  </r>
  <r>
    <s v="JBW-95055-851"/>
    <x v="518"/>
    <x v="625"/>
    <s v="A-M-1"/>
    <n v="5"/>
    <x v="625"/>
    <s v="agoldieiw@goo.gl"/>
    <x v="0"/>
    <s v="Ara"/>
    <s v="M"/>
    <x v="0"/>
    <n v="11.25"/>
    <x v="126"/>
    <x v="2"/>
    <x v="0"/>
    <x v="1"/>
  </r>
  <r>
    <s v="AHY-20324-088"/>
    <x v="519"/>
    <x v="626"/>
    <s v="L-L-0.2"/>
    <n v="2"/>
    <x v="626"/>
    <s v="nayrisix@t-online.de"/>
    <x v="2"/>
    <s v="Lib"/>
    <s v="L"/>
    <x v="3"/>
    <n v="4.7549999999999999"/>
    <x v="54"/>
    <x v="3"/>
    <x v="1"/>
    <x v="0"/>
  </r>
  <r>
    <s v="ZSL-66684-103"/>
    <x v="520"/>
    <x v="627"/>
    <s v="E-M-0.2"/>
    <n v="2"/>
    <x v="627"/>
    <s v="lbenediktovichiy@wunderground.com"/>
    <x v="0"/>
    <s v="Exc"/>
    <s v="M"/>
    <x v="3"/>
    <n v="4.125"/>
    <x v="112"/>
    <x v="1"/>
    <x v="0"/>
    <x v="0"/>
  </r>
  <r>
    <s v="WNE-73911-475"/>
    <x v="521"/>
    <x v="628"/>
    <s v="L-D-0.5"/>
    <n v="6"/>
    <x v="628"/>
    <s v="tjacobovitziz@cbc.ca"/>
    <x v="0"/>
    <s v="Lib"/>
    <s v="D"/>
    <x v="1"/>
    <n v="7.77"/>
    <x v="162"/>
    <x v="3"/>
    <x v="2"/>
    <x v="1"/>
  </r>
  <r>
    <s v="EZB-68383-559"/>
    <x v="418"/>
    <x v="629"/>
    <s v="R-L-1"/>
    <n v="6"/>
    <x v="629"/>
    <n v="0"/>
    <x v="0"/>
    <s v="Rob"/>
    <s v="L"/>
    <x v="0"/>
    <n v="11.95"/>
    <x v="144"/>
    <x v="0"/>
    <x v="1"/>
    <x v="1"/>
  </r>
  <r>
    <s v="OVO-01283-090"/>
    <x v="122"/>
    <x v="630"/>
    <s v="L-L-2.5"/>
    <n v="2"/>
    <x v="630"/>
    <s v="jdruittj1@feedburner.com"/>
    <x v="0"/>
    <s v="Lib"/>
    <s v="L"/>
    <x v="2"/>
    <n v="36.454999999999998"/>
    <x v="37"/>
    <x v="3"/>
    <x v="1"/>
    <x v="0"/>
  </r>
  <r>
    <s v="TXH-78646-919"/>
    <x v="423"/>
    <x v="631"/>
    <s v="R-D-0.2"/>
    <n v="3"/>
    <x v="631"/>
    <s v="dshortallj2@wikipedia.org"/>
    <x v="0"/>
    <s v="Rob"/>
    <s v="D"/>
    <x v="3"/>
    <n v="2.6849999999999996"/>
    <x v="36"/>
    <x v="0"/>
    <x v="2"/>
    <x v="0"/>
  </r>
  <r>
    <s v="CYZ-37122-164"/>
    <x v="463"/>
    <x v="632"/>
    <s v="E-M-0.5"/>
    <n v="2"/>
    <x v="632"/>
    <s v="wcottierj3@cafepress.com"/>
    <x v="0"/>
    <s v="Exc"/>
    <s v="M"/>
    <x v="1"/>
    <n v="8.25"/>
    <x v="38"/>
    <x v="1"/>
    <x v="0"/>
    <x v="1"/>
  </r>
  <r>
    <s v="AGQ-06534-750"/>
    <x v="273"/>
    <x v="633"/>
    <s v="A-L-1"/>
    <n v="5"/>
    <x v="633"/>
    <s v="kgrinstedj4@google.com.br"/>
    <x v="1"/>
    <s v="Ara"/>
    <s v="L"/>
    <x v="0"/>
    <n v="12.95"/>
    <x v="188"/>
    <x v="2"/>
    <x v="1"/>
    <x v="1"/>
  </r>
  <r>
    <s v="QVL-32245-818"/>
    <x v="522"/>
    <x v="634"/>
    <s v="A-M-0.5"/>
    <n v="5"/>
    <x v="634"/>
    <s v="dskynerj5@hubpages.com"/>
    <x v="0"/>
    <s v="Ara"/>
    <s v="M"/>
    <x v="1"/>
    <n v="6.75"/>
    <x v="65"/>
    <x v="2"/>
    <x v="0"/>
    <x v="1"/>
  </r>
  <r>
    <s v="LTD-96842-834"/>
    <x v="523"/>
    <x v="635"/>
    <s v="L-D-2.5"/>
    <n v="6"/>
    <x v="635"/>
    <n v="0"/>
    <x v="0"/>
    <s v="Lib"/>
    <s v="D"/>
    <x v="2"/>
    <n v="29.784999999999997"/>
    <x v="39"/>
    <x v="3"/>
    <x v="2"/>
    <x v="1"/>
  </r>
  <r>
    <s v="SEC-91807-425"/>
    <x v="260"/>
    <x v="636"/>
    <s v="A-M-1"/>
    <n v="2"/>
    <x v="636"/>
    <s v="jdymokeje@prnewswire.com"/>
    <x v="1"/>
    <s v="Ara"/>
    <s v="M"/>
    <x v="0"/>
    <n v="11.25"/>
    <x v="122"/>
    <x v="2"/>
    <x v="0"/>
    <x v="1"/>
  </r>
  <r>
    <s v="MHM-44857-599"/>
    <x v="331"/>
    <x v="637"/>
    <s v="L-D-1"/>
    <n v="1"/>
    <x v="637"/>
    <s v="aweinmannj8@shinystat.com"/>
    <x v="0"/>
    <s v="Lib"/>
    <s v="D"/>
    <x v="0"/>
    <n v="12.95"/>
    <x v="2"/>
    <x v="3"/>
    <x v="2"/>
    <x v="1"/>
  </r>
  <r>
    <s v="KGC-95046-911"/>
    <x v="524"/>
    <x v="638"/>
    <s v="A-M-2.5"/>
    <n v="2"/>
    <x v="638"/>
    <s v="eandriessenj9@europa.eu"/>
    <x v="0"/>
    <s v="Ara"/>
    <s v="M"/>
    <x v="2"/>
    <n v="25.874999999999996"/>
    <x v="95"/>
    <x v="2"/>
    <x v="0"/>
    <x v="0"/>
  </r>
  <r>
    <s v="RZC-75150-413"/>
    <x v="525"/>
    <x v="639"/>
    <s v="E-D-0.5"/>
    <n v="5"/>
    <x v="639"/>
    <s v="rdeaconsonja@archive.org"/>
    <x v="0"/>
    <s v="Exc"/>
    <s v="D"/>
    <x v="1"/>
    <n v="7.29"/>
    <x v="114"/>
    <x v="1"/>
    <x v="2"/>
    <x v="1"/>
  </r>
  <r>
    <s v="EYH-88288-452"/>
    <x v="526"/>
    <x v="640"/>
    <s v="L-L-2.5"/>
    <n v="5"/>
    <x v="640"/>
    <s v="dcarojb@twitter.com"/>
    <x v="0"/>
    <s v="Lib"/>
    <s v="L"/>
    <x v="2"/>
    <n v="36.454999999999998"/>
    <x v="134"/>
    <x v="3"/>
    <x v="1"/>
    <x v="0"/>
  </r>
  <r>
    <s v="NYQ-24237-772"/>
    <x v="104"/>
    <x v="641"/>
    <s v="L-D-0.5"/>
    <n v="4"/>
    <x v="641"/>
    <s v="jbluckjc@imageshack.us"/>
    <x v="0"/>
    <s v="Lib"/>
    <s v="D"/>
    <x v="1"/>
    <n v="7.77"/>
    <x v="113"/>
    <x v="3"/>
    <x v="2"/>
    <x v="1"/>
  </r>
  <r>
    <s v="WKB-21680-566"/>
    <x v="491"/>
    <x v="642"/>
    <s v="A-M-0.5"/>
    <n v="3"/>
    <x v="642"/>
    <n v="0"/>
    <x v="1"/>
    <s v="Ara"/>
    <s v="M"/>
    <x v="1"/>
    <n v="6.75"/>
    <x v="16"/>
    <x v="2"/>
    <x v="0"/>
    <x v="1"/>
  </r>
  <r>
    <s v="THE-61147-027"/>
    <x v="157"/>
    <x v="636"/>
    <s v="L-D-1"/>
    <n v="2"/>
    <x v="636"/>
    <s v="jdymokeje@prnewswire.com"/>
    <x v="1"/>
    <s v="Lib"/>
    <s v="D"/>
    <x v="0"/>
    <n v="12.95"/>
    <x v="109"/>
    <x v="3"/>
    <x v="2"/>
    <x v="1"/>
  </r>
  <r>
    <s v="PTY-86420-119"/>
    <x v="527"/>
    <x v="643"/>
    <s v="A-D-0.5"/>
    <n v="4"/>
    <x v="643"/>
    <s v="otadmanjf@ft.com"/>
    <x v="0"/>
    <s v="Ara"/>
    <s v="D"/>
    <x v="1"/>
    <n v="5.97"/>
    <x v="86"/>
    <x v="2"/>
    <x v="2"/>
    <x v="0"/>
  </r>
  <r>
    <s v="QHL-27188-431"/>
    <x v="528"/>
    <x v="644"/>
    <s v="L-L-0.5"/>
    <n v="2"/>
    <x v="644"/>
    <s v="bguddejg@dailymotion.com"/>
    <x v="0"/>
    <s v="Lib"/>
    <s v="L"/>
    <x v="1"/>
    <n v="9.51"/>
    <x v="81"/>
    <x v="3"/>
    <x v="1"/>
    <x v="1"/>
  </r>
  <r>
    <s v="MIS-54381-047"/>
    <x v="99"/>
    <x v="645"/>
    <s v="A-D-0.5"/>
    <n v="5"/>
    <x v="645"/>
    <s v="nsictornesjh@buzzfeed.com"/>
    <x v="1"/>
    <s v="Ara"/>
    <s v="D"/>
    <x v="1"/>
    <n v="5.97"/>
    <x v="44"/>
    <x v="2"/>
    <x v="2"/>
    <x v="0"/>
  </r>
  <r>
    <s v="TBB-29780-459"/>
    <x v="529"/>
    <x v="646"/>
    <s v="A-L-0.5"/>
    <n v="1"/>
    <x v="646"/>
    <s v="vdunningji@independent.co.uk"/>
    <x v="0"/>
    <s v="Ara"/>
    <s v="L"/>
    <x v="1"/>
    <n v="7.77"/>
    <x v="41"/>
    <x v="2"/>
    <x v="1"/>
    <x v="0"/>
  </r>
  <r>
    <s v="QLC-52637-305"/>
    <x v="530"/>
    <x v="647"/>
    <s v="L-D-2.5"/>
    <n v="4"/>
    <x v="647"/>
    <n v="0"/>
    <x v="1"/>
    <s v="Lib"/>
    <s v="D"/>
    <x v="2"/>
    <n v="29.784999999999997"/>
    <x v="129"/>
    <x v="3"/>
    <x v="2"/>
    <x v="0"/>
  </r>
  <r>
    <s v="CWT-27056-328"/>
    <x v="531"/>
    <x v="648"/>
    <s v="E-D-0.2"/>
    <n v="6"/>
    <x v="648"/>
    <n v="0"/>
    <x v="0"/>
    <s v="Exc"/>
    <s v="D"/>
    <x v="3"/>
    <n v="3.645"/>
    <x v="6"/>
    <x v="1"/>
    <x v="2"/>
    <x v="0"/>
  </r>
  <r>
    <s v="ASS-05878-128"/>
    <x v="210"/>
    <x v="649"/>
    <s v="E-L-0.5"/>
    <n v="2"/>
    <x v="649"/>
    <s v="sgehringjl@gnu.org"/>
    <x v="0"/>
    <s v="Exc"/>
    <s v="L"/>
    <x v="1"/>
    <n v="8.91"/>
    <x v="58"/>
    <x v="1"/>
    <x v="1"/>
    <x v="1"/>
  </r>
  <r>
    <s v="EGK-03027-418"/>
    <x v="532"/>
    <x v="650"/>
    <s v="E-M-0.2"/>
    <n v="3"/>
    <x v="650"/>
    <s v="bfallowesjm@purevolume.com"/>
    <x v="0"/>
    <s v="Exc"/>
    <s v="M"/>
    <x v="3"/>
    <n v="4.125"/>
    <x v="24"/>
    <x v="1"/>
    <x v="0"/>
    <x v="1"/>
  </r>
  <r>
    <s v="KCY-61732-849"/>
    <x v="533"/>
    <x v="651"/>
    <s v="L-D-1"/>
    <n v="2"/>
    <x v="651"/>
    <n v="0"/>
    <x v="1"/>
    <s v="Lib"/>
    <s v="D"/>
    <x v="0"/>
    <n v="12.95"/>
    <x v="109"/>
    <x v="3"/>
    <x v="2"/>
    <x v="1"/>
  </r>
  <r>
    <s v="BLI-21697-702"/>
    <x v="534"/>
    <x v="652"/>
    <s v="A-M-0.5"/>
    <n v="2"/>
    <x v="652"/>
    <s v="sdejo@newsvine.com"/>
    <x v="0"/>
    <s v="Ara"/>
    <s v="M"/>
    <x v="1"/>
    <n v="6.75"/>
    <x v="72"/>
    <x v="2"/>
    <x v="0"/>
    <x v="0"/>
  </r>
  <r>
    <s v="KFJ-46568-890"/>
    <x v="535"/>
    <x v="653"/>
    <s v="E-L-0.5"/>
    <n v="2"/>
    <x v="653"/>
    <n v="0"/>
    <x v="0"/>
    <s v="Exc"/>
    <s v="L"/>
    <x v="1"/>
    <n v="8.91"/>
    <x v="58"/>
    <x v="1"/>
    <x v="1"/>
    <x v="0"/>
  </r>
  <r>
    <s v="SOK-43535-680"/>
    <x v="536"/>
    <x v="654"/>
    <s v="E-M-0.5"/>
    <n v="3"/>
    <x v="654"/>
    <s v="scountjq@nba.com"/>
    <x v="0"/>
    <s v="Exc"/>
    <s v="M"/>
    <x v="1"/>
    <n v="8.25"/>
    <x v="167"/>
    <x v="1"/>
    <x v="0"/>
    <x v="1"/>
  </r>
  <r>
    <s v="XUE-87260-201"/>
    <x v="537"/>
    <x v="655"/>
    <s v="R-M-0.2"/>
    <n v="6"/>
    <x v="655"/>
    <s v="sraglesjr@blogtalkradio.com"/>
    <x v="0"/>
    <s v="Rob"/>
    <s v="M"/>
    <x v="3"/>
    <n v="2.9849999999999999"/>
    <x v="8"/>
    <x v="0"/>
    <x v="0"/>
    <x v="1"/>
  </r>
  <r>
    <s v="CZF-40873-691"/>
    <x v="61"/>
    <x v="656"/>
    <s v="E-M-0.5"/>
    <n v="2"/>
    <x v="656"/>
    <n v="0"/>
    <x v="2"/>
    <s v="Exc"/>
    <s v="M"/>
    <x v="1"/>
    <n v="8.25"/>
    <x v="38"/>
    <x v="1"/>
    <x v="0"/>
    <x v="1"/>
  </r>
  <r>
    <s v="AIA-98989-755"/>
    <x v="242"/>
    <x v="657"/>
    <s v="R-M-0.2"/>
    <n v="1"/>
    <x v="657"/>
    <s v="sbruunjt@blogtalkradio.com"/>
    <x v="0"/>
    <s v="Rob"/>
    <s v="M"/>
    <x v="3"/>
    <n v="2.9849999999999999"/>
    <x v="55"/>
    <x v="0"/>
    <x v="0"/>
    <x v="1"/>
  </r>
  <r>
    <s v="ITZ-21793-986"/>
    <x v="299"/>
    <x v="658"/>
    <s v="E-D-0.2"/>
    <n v="4"/>
    <x v="658"/>
    <s v="aplluju@dagondesign.com"/>
    <x v="1"/>
    <s v="Exc"/>
    <s v="D"/>
    <x v="3"/>
    <n v="3.645"/>
    <x v="20"/>
    <x v="1"/>
    <x v="2"/>
    <x v="0"/>
  </r>
  <r>
    <s v="YOK-93322-608"/>
    <x v="343"/>
    <x v="659"/>
    <s v="E-L-1"/>
    <n v="6"/>
    <x v="659"/>
    <s v="gcornierjv@techcrunch.com"/>
    <x v="0"/>
    <s v="Exc"/>
    <s v="L"/>
    <x v="0"/>
    <n v="14.85"/>
    <x v="146"/>
    <x v="1"/>
    <x v="1"/>
    <x v="1"/>
  </r>
  <r>
    <s v="LXK-00634-611"/>
    <x v="538"/>
    <x v="636"/>
    <s v="R-L-1"/>
    <n v="3"/>
    <x v="636"/>
    <s v="jdymokeje@prnewswire.com"/>
    <x v="1"/>
    <s v="Rob"/>
    <s v="L"/>
    <x v="0"/>
    <n v="11.95"/>
    <x v="66"/>
    <x v="0"/>
    <x v="1"/>
    <x v="1"/>
  </r>
  <r>
    <s v="CQW-37388-302"/>
    <x v="539"/>
    <x v="660"/>
    <s v="A-D-2.5"/>
    <n v="3"/>
    <x v="660"/>
    <s v="wharvisonjx@gizmodo.com"/>
    <x v="0"/>
    <s v="Ara"/>
    <s v="D"/>
    <x v="2"/>
    <n v="22.884999999999998"/>
    <x v="96"/>
    <x v="2"/>
    <x v="2"/>
    <x v="1"/>
  </r>
  <r>
    <s v="SPA-79365-334"/>
    <x v="27"/>
    <x v="661"/>
    <s v="L-D-1"/>
    <n v="3"/>
    <x v="661"/>
    <s v="dheafordjy@twitpic.com"/>
    <x v="0"/>
    <s v="Lib"/>
    <s v="D"/>
    <x v="0"/>
    <n v="12.95"/>
    <x v="5"/>
    <x v="3"/>
    <x v="2"/>
    <x v="1"/>
  </r>
  <r>
    <s v="VPX-08817-517"/>
    <x v="540"/>
    <x v="662"/>
    <s v="L-L-1"/>
    <n v="5"/>
    <x v="662"/>
    <s v="gfanthamjz@hexun.com"/>
    <x v="0"/>
    <s v="Lib"/>
    <s v="L"/>
    <x v="0"/>
    <n v="15.85"/>
    <x v="180"/>
    <x v="3"/>
    <x v="1"/>
    <x v="0"/>
  </r>
  <r>
    <s v="PBP-87115-410"/>
    <x v="541"/>
    <x v="663"/>
    <s v="E-D-0.5"/>
    <n v="5"/>
    <x v="663"/>
    <s v="rcrookshanksk0@unc.edu"/>
    <x v="0"/>
    <s v="Exc"/>
    <s v="D"/>
    <x v="1"/>
    <n v="7.29"/>
    <x v="114"/>
    <x v="1"/>
    <x v="2"/>
    <x v="0"/>
  </r>
  <r>
    <s v="SFB-93752-440"/>
    <x v="390"/>
    <x v="664"/>
    <s v="R-M-0.2"/>
    <n v="3"/>
    <x v="664"/>
    <s v="nleakek1@cmu.edu"/>
    <x v="0"/>
    <s v="Rob"/>
    <s v="M"/>
    <x v="3"/>
    <n v="2.9849999999999999"/>
    <x v="169"/>
    <x v="0"/>
    <x v="0"/>
    <x v="0"/>
  </r>
  <r>
    <s v="TBU-65158-068"/>
    <x v="396"/>
    <x v="665"/>
    <s v="E-D-1"/>
    <n v="2"/>
    <x v="665"/>
    <n v="0"/>
    <x v="0"/>
    <s v="Exc"/>
    <s v="D"/>
    <x v="0"/>
    <n v="12.15"/>
    <x v="76"/>
    <x v="1"/>
    <x v="2"/>
    <x v="1"/>
  </r>
  <r>
    <s v="TEH-08414-216"/>
    <x v="185"/>
    <x v="666"/>
    <s v="E-M-2.5"/>
    <n v="2"/>
    <x v="666"/>
    <s v="geilhersenk3@networksolutions.com"/>
    <x v="0"/>
    <s v="Exc"/>
    <s v="M"/>
    <x v="2"/>
    <n v="31.624999999999996"/>
    <x v="40"/>
    <x v="1"/>
    <x v="0"/>
    <x v="1"/>
  </r>
  <r>
    <s v="MAY-77231-536"/>
    <x v="542"/>
    <x v="667"/>
    <s v="A-M-0.2"/>
    <n v="2"/>
    <x v="667"/>
    <n v="0"/>
    <x v="0"/>
    <s v="Ara"/>
    <s v="M"/>
    <x v="3"/>
    <n v="3.375"/>
    <x v="52"/>
    <x v="2"/>
    <x v="0"/>
    <x v="0"/>
  </r>
  <r>
    <s v="ATY-28980-884"/>
    <x v="117"/>
    <x v="668"/>
    <s v="A-L-0.2"/>
    <n v="6"/>
    <x v="668"/>
    <s v="caleixok5@globo.com"/>
    <x v="0"/>
    <s v="Ara"/>
    <s v="L"/>
    <x v="3"/>
    <n v="3.8849999999999998"/>
    <x v="102"/>
    <x v="2"/>
    <x v="1"/>
    <x v="1"/>
  </r>
  <r>
    <s v="SWP-88281-918"/>
    <x v="543"/>
    <x v="669"/>
    <s v="L-L-2.5"/>
    <n v="4"/>
    <x v="669"/>
    <n v="0"/>
    <x v="0"/>
    <s v="Lib"/>
    <s v="L"/>
    <x v="2"/>
    <n v="36.454999999999998"/>
    <x v="43"/>
    <x v="3"/>
    <x v="1"/>
    <x v="1"/>
  </r>
  <r>
    <s v="VCE-56531-986"/>
    <x v="544"/>
    <x v="670"/>
    <s v="R-M-0.5"/>
    <n v="5"/>
    <x v="670"/>
    <s v="rtomkowiczk7@bravesites.com"/>
    <x v="1"/>
    <s v="Rob"/>
    <s v="M"/>
    <x v="1"/>
    <n v="5.97"/>
    <x v="44"/>
    <x v="0"/>
    <x v="0"/>
    <x v="0"/>
  </r>
  <r>
    <s v="FVV-75700-005"/>
    <x v="545"/>
    <x v="671"/>
    <s v="E-D-0.5"/>
    <n v="3"/>
    <x v="671"/>
    <s v="rhuscroftk8@jimdo.com"/>
    <x v="0"/>
    <s v="Exc"/>
    <s v="D"/>
    <x v="1"/>
    <n v="7.29"/>
    <x v="6"/>
    <x v="1"/>
    <x v="2"/>
    <x v="0"/>
  </r>
  <r>
    <s v="CFZ-53492-600"/>
    <x v="546"/>
    <x v="672"/>
    <s v="L-M-0.2"/>
    <n v="1"/>
    <x v="672"/>
    <s v="sscurrerk9@flavors.me"/>
    <x v="2"/>
    <s v="Lib"/>
    <s v="M"/>
    <x v="3"/>
    <n v="4.3650000000000002"/>
    <x v="189"/>
    <x v="3"/>
    <x v="0"/>
    <x v="1"/>
  </r>
  <r>
    <s v="LDK-71031-121"/>
    <x v="420"/>
    <x v="673"/>
    <s v="L-L-2.5"/>
    <n v="1"/>
    <x v="673"/>
    <s v="arudramka@prnewswire.com"/>
    <x v="0"/>
    <s v="Lib"/>
    <s v="L"/>
    <x v="2"/>
    <n v="36.454999999999998"/>
    <x v="133"/>
    <x v="3"/>
    <x v="1"/>
    <x v="1"/>
  </r>
  <r>
    <s v="EBA-82404-343"/>
    <x v="547"/>
    <x v="674"/>
    <s v="L-D-0.2"/>
    <n v="4"/>
    <x v="674"/>
    <n v="0"/>
    <x v="0"/>
    <s v="Lib"/>
    <s v="D"/>
    <x v="3"/>
    <n v="3.8849999999999998"/>
    <x v="42"/>
    <x v="3"/>
    <x v="2"/>
    <x v="0"/>
  </r>
  <r>
    <s v="USA-42811-560"/>
    <x v="548"/>
    <x v="675"/>
    <s v="E-L-0.2"/>
    <n v="2"/>
    <x v="675"/>
    <s v="jmahakc@cyberchimps.com"/>
    <x v="0"/>
    <s v="Exc"/>
    <s v="L"/>
    <x v="3"/>
    <n v="4.4550000000000001"/>
    <x v="161"/>
    <x v="1"/>
    <x v="1"/>
    <x v="1"/>
  </r>
  <r>
    <s v="SNL-83703-516"/>
    <x v="549"/>
    <x v="676"/>
    <s v="L-M-2.5"/>
    <n v="3"/>
    <x v="676"/>
    <s v="gclemonkd@networksolutions.com"/>
    <x v="0"/>
    <s v="Lib"/>
    <s v="M"/>
    <x v="2"/>
    <n v="33.464999999999996"/>
    <x v="64"/>
    <x v="3"/>
    <x v="0"/>
    <x v="0"/>
  </r>
  <r>
    <s v="SUZ-83036-175"/>
    <x v="550"/>
    <x v="677"/>
    <s v="R-D-0.2"/>
    <n v="5"/>
    <x v="677"/>
    <n v="0"/>
    <x v="0"/>
    <s v="Rob"/>
    <s v="D"/>
    <x v="3"/>
    <n v="2.6849999999999996"/>
    <x v="148"/>
    <x v="0"/>
    <x v="2"/>
    <x v="1"/>
  </r>
  <r>
    <s v="RGM-01187-513"/>
    <x v="551"/>
    <x v="678"/>
    <s v="E-D-0.2"/>
    <n v="6"/>
    <x v="678"/>
    <s v="bpollinskf@shinystat.com"/>
    <x v="0"/>
    <s v="Exc"/>
    <s v="D"/>
    <x v="3"/>
    <n v="3.645"/>
    <x v="6"/>
    <x v="1"/>
    <x v="2"/>
    <x v="1"/>
  </r>
  <r>
    <s v="CZG-01299-952"/>
    <x v="552"/>
    <x v="679"/>
    <s v="L-D-1"/>
    <n v="2"/>
    <x v="679"/>
    <s v="jtoyekg@pinterest.com"/>
    <x v="1"/>
    <s v="Lib"/>
    <s v="D"/>
    <x v="0"/>
    <n v="12.95"/>
    <x v="109"/>
    <x v="3"/>
    <x v="2"/>
    <x v="0"/>
  </r>
  <r>
    <s v="KLD-88731-484"/>
    <x v="553"/>
    <x v="680"/>
    <s v="A-M-1"/>
    <n v="5"/>
    <x v="680"/>
    <s v="clinskillkh@sphinn.com"/>
    <x v="0"/>
    <s v="Ara"/>
    <s v="M"/>
    <x v="0"/>
    <n v="11.25"/>
    <x v="126"/>
    <x v="2"/>
    <x v="0"/>
    <x v="1"/>
  </r>
  <r>
    <s v="BQK-38412-229"/>
    <x v="554"/>
    <x v="681"/>
    <s v="R-L-0.2"/>
    <n v="3"/>
    <x v="681"/>
    <s v="nvigrasski@ezinearticles.com"/>
    <x v="2"/>
    <s v="Rob"/>
    <s v="L"/>
    <x v="3"/>
    <n v="3.5849999999999995"/>
    <x v="127"/>
    <x v="0"/>
    <x v="1"/>
    <x v="1"/>
  </r>
  <r>
    <s v="TCX-76953-071"/>
    <x v="555"/>
    <x v="636"/>
    <s v="E-D-0.2"/>
    <n v="5"/>
    <x v="636"/>
    <s v="jdymokeje@prnewswire.com"/>
    <x v="1"/>
    <s v="Exc"/>
    <s v="D"/>
    <x v="3"/>
    <n v="3.645"/>
    <x v="94"/>
    <x v="1"/>
    <x v="2"/>
    <x v="1"/>
  </r>
  <r>
    <s v="LIN-88046-551"/>
    <x v="150"/>
    <x v="682"/>
    <s v="R-L-0.5"/>
    <n v="4"/>
    <x v="682"/>
    <s v="kcragellkk@google.com"/>
    <x v="1"/>
    <s v="Rob"/>
    <s v="L"/>
    <x v="1"/>
    <n v="7.169999999999999"/>
    <x v="139"/>
    <x v="0"/>
    <x v="1"/>
    <x v="1"/>
  </r>
  <r>
    <s v="PMV-54491-220"/>
    <x v="556"/>
    <x v="683"/>
    <s v="L-M-0.2"/>
    <n v="2"/>
    <x v="683"/>
    <s v="libertkl@huffingtonpost.com"/>
    <x v="0"/>
    <s v="Lib"/>
    <s v="M"/>
    <x v="3"/>
    <n v="4.3650000000000002"/>
    <x v="31"/>
    <x v="3"/>
    <x v="0"/>
    <x v="1"/>
  </r>
  <r>
    <s v="SKA-73676-005"/>
    <x v="327"/>
    <x v="684"/>
    <s v="L-M-1"/>
    <n v="4"/>
    <x v="684"/>
    <s v="rlidgeykm@vimeo.com"/>
    <x v="0"/>
    <s v="Lib"/>
    <s v="M"/>
    <x v="0"/>
    <n v="14.55"/>
    <x v="125"/>
    <x v="3"/>
    <x v="0"/>
    <x v="1"/>
  </r>
  <r>
    <s v="TKH-62197-239"/>
    <x v="557"/>
    <x v="685"/>
    <s v="A-D-0.5"/>
    <n v="3"/>
    <x v="685"/>
    <s v="tcastagnekn@wikia.com"/>
    <x v="0"/>
    <s v="Ara"/>
    <s v="D"/>
    <x v="1"/>
    <n v="5.97"/>
    <x v="8"/>
    <x v="2"/>
    <x v="2"/>
    <x v="1"/>
  </r>
  <r>
    <s v="YXF-57218-272"/>
    <x v="333"/>
    <x v="686"/>
    <s v="R-M-0.2"/>
    <n v="6"/>
    <x v="686"/>
    <n v="0"/>
    <x v="0"/>
    <s v="Rob"/>
    <s v="M"/>
    <x v="3"/>
    <n v="2.9849999999999999"/>
    <x v="8"/>
    <x v="0"/>
    <x v="0"/>
    <x v="0"/>
  </r>
  <r>
    <s v="PKJ-30083-501"/>
    <x v="558"/>
    <x v="687"/>
    <s v="E-D-0.5"/>
    <n v="2"/>
    <x v="687"/>
    <s v="jhaldenkp@comcast.net"/>
    <x v="1"/>
    <s v="Exc"/>
    <s v="D"/>
    <x v="1"/>
    <n v="7.29"/>
    <x v="20"/>
    <x v="1"/>
    <x v="2"/>
    <x v="1"/>
  </r>
  <r>
    <s v="WTT-91832-645"/>
    <x v="559"/>
    <x v="688"/>
    <s v="A-M-1"/>
    <n v="3"/>
    <x v="688"/>
    <s v="holliffkq@sciencedirect.com"/>
    <x v="1"/>
    <s v="Ara"/>
    <s v="M"/>
    <x v="0"/>
    <n v="11.25"/>
    <x v="65"/>
    <x v="2"/>
    <x v="0"/>
    <x v="1"/>
  </r>
  <r>
    <s v="TRZ-94735-865"/>
    <x v="310"/>
    <x v="689"/>
    <s v="L-M-0.5"/>
    <n v="4"/>
    <x v="689"/>
    <s v="tquadrikr@opensource.org"/>
    <x v="1"/>
    <s v="Lib"/>
    <s v="M"/>
    <x v="1"/>
    <n v="8.73"/>
    <x v="190"/>
    <x v="3"/>
    <x v="0"/>
    <x v="0"/>
  </r>
  <r>
    <s v="UDB-09651-780"/>
    <x v="560"/>
    <x v="690"/>
    <s v="E-D-0.5"/>
    <n v="2"/>
    <x v="690"/>
    <s v="feshmadeks@umn.edu"/>
    <x v="0"/>
    <s v="Exc"/>
    <s v="D"/>
    <x v="1"/>
    <n v="7.29"/>
    <x v="20"/>
    <x v="1"/>
    <x v="2"/>
    <x v="1"/>
  </r>
  <r>
    <s v="EHJ-82097-549"/>
    <x v="561"/>
    <x v="691"/>
    <s v="R-D-0.2"/>
    <n v="2"/>
    <x v="691"/>
    <s v="moilierkt@paginegialle.it"/>
    <x v="1"/>
    <s v="Rob"/>
    <s v="D"/>
    <x v="3"/>
    <n v="2.6849999999999996"/>
    <x v="147"/>
    <x v="0"/>
    <x v="2"/>
    <x v="0"/>
  </r>
  <r>
    <s v="ZFR-79447-696"/>
    <x v="562"/>
    <x v="692"/>
    <s v="R-M-0.5"/>
    <n v="1"/>
    <x v="692"/>
    <n v="0"/>
    <x v="0"/>
    <s v="Rob"/>
    <s v="M"/>
    <x v="1"/>
    <n v="5.97"/>
    <x v="9"/>
    <x v="0"/>
    <x v="0"/>
    <x v="0"/>
  </r>
  <r>
    <s v="NUU-03893-975"/>
    <x v="563"/>
    <x v="693"/>
    <s v="L-L-0.5"/>
    <n v="2"/>
    <x v="693"/>
    <s v="vshoebothamkv@redcross.org"/>
    <x v="0"/>
    <s v="Lib"/>
    <s v="L"/>
    <x v="1"/>
    <n v="9.51"/>
    <x v="81"/>
    <x v="3"/>
    <x v="1"/>
    <x v="1"/>
  </r>
  <r>
    <s v="GVG-59542-307"/>
    <x v="564"/>
    <x v="694"/>
    <s v="E-M-1"/>
    <n v="2"/>
    <x v="694"/>
    <s v="bsterkekw@biblegateway.com"/>
    <x v="0"/>
    <s v="Exc"/>
    <s v="M"/>
    <x v="0"/>
    <n v="13.75"/>
    <x v="3"/>
    <x v="1"/>
    <x v="0"/>
    <x v="0"/>
  </r>
  <r>
    <s v="YLY-35287-172"/>
    <x v="565"/>
    <x v="695"/>
    <s v="A-D-0.5"/>
    <n v="5"/>
    <x v="695"/>
    <s v="scaponkx@craigslist.org"/>
    <x v="0"/>
    <s v="Ara"/>
    <s v="D"/>
    <x v="1"/>
    <n v="5.97"/>
    <x v="44"/>
    <x v="2"/>
    <x v="2"/>
    <x v="1"/>
  </r>
  <r>
    <s v="DCI-96254-548"/>
    <x v="566"/>
    <x v="636"/>
    <s v="A-D-0.2"/>
    <n v="6"/>
    <x v="636"/>
    <s v="jdymokeje@prnewswire.com"/>
    <x v="1"/>
    <s v="Ara"/>
    <s v="D"/>
    <x v="3"/>
    <n v="2.9849999999999999"/>
    <x v="8"/>
    <x v="2"/>
    <x v="2"/>
    <x v="1"/>
  </r>
  <r>
    <s v="KHZ-26264-253"/>
    <x v="160"/>
    <x v="696"/>
    <s v="L-L-0.2"/>
    <n v="6"/>
    <x v="696"/>
    <s v="fconstancekz@ifeng.com"/>
    <x v="0"/>
    <s v="Lib"/>
    <s v="L"/>
    <x v="3"/>
    <n v="4.7549999999999999"/>
    <x v="32"/>
    <x v="3"/>
    <x v="1"/>
    <x v="1"/>
  </r>
  <r>
    <s v="AAQ-13644-699"/>
    <x v="567"/>
    <x v="697"/>
    <s v="R-D-1"/>
    <n v="4"/>
    <x v="697"/>
    <s v="fsulmanl0@washington.edu"/>
    <x v="0"/>
    <s v="Rob"/>
    <s v="D"/>
    <x v="0"/>
    <n v="8.9499999999999993"/>
    <x v="191"/>
    <x v="0"/>
    <x v="2"/>
    <x v="0"/>
  </r>
  <r>
    <s v="LWL-68108-794"/>
    <x v="568"/>
    <x v="698"/>
    <s v="A-D-0.5"/>
    <n v="3"/>
    <x v="698"/>
    <s v="dhollymanl1@ibm.com"/>
    <x v="0"/>
    <s v="Ara"/>
    <s v="D"/>
    <x v="1"/>
    <n v="5.97"/>
    <x v="8"/>
    <x v="2"/>
    <x v="2"/>
    <x v="0"/>
  </r>
  <r>
    <s v="JQT-14347-517"/>
    <x v="569"/>
    <x v="699"/>
    <s v="R-D-1"/>
    <n v="1"/>
    <x v="699"/>
    <s v="lnardonil2@hao123.com"/>
    <x v="0"/>
    <s v="Rob"/>
    <s v="D"/>
    <x v="0"/>
    <n v="8.9499999999999993"/>
    <x v="192"/>
    <x v="0"/>
    <x v="2"/>
    <x v="1"/>
  </r>
  <r>
    <s v="BMM-86471-923"/>
    <x v="570"/>
    <x v="700"/>
    <s v="L-D-2.5"/>
    <n v="1"/>
    <x v="700"/>
    <s v="dyarhaml3@moonfruit.com"/>
    <x v="0"/>
    <s v="Lib"/>
    <s v="D"/>
    <x v="2"/>
    <n v="29.784999999999997"/>
    <x v="91"/>
    <x v="3"/>
    <x v="2"/>
    <x v="0"/>
  </r>
  <r>
    <s v="IXU-67272-326"/>
    <x v="571"/>
    <x v="701"/>
    <s v="E-L-0.5"/>
    <n v="5"/>
    <x v="701"/>
    <s v="aferreal4@wikia.com"/>
    <x v="0"/>
    <s v="Exc"/>
    <s v="L"/>
    <x v="1"/>
    <n v="8.91"/>
    <x v="69"/>
    <x v="1"/>
    <x v="1"/>
    <x v="1"/>
  </r>
  <r>
    <s v="ITE-28312-615"/>
    <x v="139"/>
    <x v="702"/>
    <s v="E-L-1"/>
    <n v="6"/>
    <x v="702"/>
    <s v="ckendrickl5@webnode.com"/>
    <x v="0"/>
    <s v="Exc"/>
    <s v="L"/>
    <x v="0"/>
    <n v="14.85"/>
    <x v="146"/>
    <x v="1"/>
    <x v="1"/>
    <x v="0"/>
  </r>
  <r>
    <s v="ZHQ-30471-635"/>
    <x v="303"/>
    <x v="703"/>
    <s v="L-M-0.5"/>
    <n v="5"/>
    <x v="703"/>
    <s v="sdanilchikl6@mit.edu"/>
    <x v="2"/>
    <s v="Lib"/>
    <s v="M"/>
    <x v="1"/>
    <n v="8.73"/>
    <x v="34"/>
    <x v="3"/>
    <x v="0"/>
    <x v="1"/>
  </r>
  <r>
    <s v="LTP-31133-134"/>
    <x v="572"/>
    <x v="704"/>
    <s v="A-L-0.5"/>
    <n v="3"/>
    <x v="704"/>
    <n v="0"/>
    <x v="0"/>
    <s v="Ara"/>
    <s v="L"/>
    <x v="1"/>
    <n v="7.77"/>
    <x v="102"/>
    <x v="2"/>
    <x v="1"/>
    <x v="1"/>
  </r>
  <r>
    <s v="ZVQ-26122-859"/>
    <x v="573"/>
    <x v="705"/>
    <s v="A-L-2.5"/>
    <n v="6"/>
    <x v="705"/>
    <s v="bfolomkinl8@yolasite.com"/>
    <x v="0"/>
    <s v="Ara"/>
    <s v="L"/>
    <x v="2"/>
    <n v="29.784999999999997"/>
    <x v="39"/>
    <x v="2"/>
    <x v="1"/>
    <x v="0"/>
  </r>
  <r>
    <s v="MIU-01481-194"/>
    <x v="574"/>
    <x v="706"/>
    <s v="R-M-1"/>
    <n v="6"/>
    <x v="706"/>
    <s v="rpursglovel9@biblegateway.com"/>
    <x v="0"/>
    <s v="Rob"/>
    <s v="M"/>
    <x v="0"/>
    <n v="9.9499999999999993"/>
    <x v="33"/>
    <x v="0"/>
    <x v="0"/>
    <x v="0"/>
  </r>
  <r>
    <s v="MIU-01481-194"/>
    <x v="574"/>
    <x v="706"/>
    <s v="A-L-0.5"/>
    <n v="2"/>
    <x v="706"/>
    <s v="rpursglovel9@biblegateway.com"/>
    <x v="0"/>
    <s v="Ara"/>
    <s v="L"/>
    <x v="1"/>
    <n v="7.77"/>
    <x v="42"/>
    <x v="2"/>
    <x v="1"/>
    <x v="0"/>
  </r>
  <r>
    <s v="UEA-72681-629"/>
    <x v="455"/>
    <x v="696"/>
    <s v="A-L-2.5"/>
    <n v="3"/>
    <x v="696"/>
    <s v="fconstancekz@ifeng.com"/>
    <x v="0"/>
    <s v="Ara"/>
    <s v="L"/>
    <x v="2"/>
    <n v="29.784999999999997"/>
    <x v="49"/>
    <x v="2"/>
    <x v="1"/>
    <x v="1"/>
  </r>
  <r>
    <s v="CVE-15042-481"/>
    <x v="575"/>
    <x v="696"/>
    <s v="R-L-1"/>
    <n v="2"/>
    <x v="696"/>
    <s v="fconstancekz@ifeng.com"/>
    <x v="0"/>
    <s v="Rob"/>
    <s v="L"/>
    <x v="0"/>
    <n v="11.95"/>
    <x v="178"/>
    <x v="0"/>
    <x v="1"/>
    <x v="1"/>
  </r>
  <r>
    <s v="EJA-79176-833"/>
    <x v="576"/>
    <x v="707"/>
    <s v="R-M-2.5"/>
    <n v="6"/>
    <x v="707"/>
    <s v="deburahld@google.co.jp"/>
    <x v="2"/>
    <s v="Rob"/>
    <s v="M"/>
    <x v="2"/>
    <n v="22.884999999999998"/>
    <x v="170"/>
    <x v="0"/>
    <x v="0"/>
    <x v="1"/>
  </r>
  <r>
    <s v="AHQ-40440-522"/>
    <x v="577"/>
    <x v="708"/>
    <s v="A-D-1"/>
    <n v="1"/>
    <x v="708"/>
    <s v="mbrimilcombele@cnn.com"/>
    <x v="0"/>
    <s v="Ara"/>
    <s v="D"/>
    <x v="0"/>
    <n v="9.9499999999999993"/>
    <x v="138"/>
    <x v="2"/>
    <x v="2"/>
    <x v="1"/>
  </r>
  <r>
    <s v="TID-21626-411"/>
    <x v="578"/>
    <x v="709"/>
    <s v="R-L-0.5"/>
    <n v="3"/>
    <x v="709"/>
    <s v="sbollamlf@list-manage.com"/>
    <x v="0"/>
    <s v="Rob"/>
    <s v="L"/>
    <x v="1"/>
    <n v="7.169999999999999"/>
    <x v="137"/>
    <x v="0"/>
    <x v="1"/>
    <x v="1"/>
  </r>
  <r>
    <s v="RSR-96390-187"/>
    <x v="579"/>
    <x v="710"/>
    <s v="E-M-1"/>
    <n v="6"/>
    <x v="710"/>
    <n v="0"/>
    <x v="0"/>
    <s v="Exc"/>
    <s v="M"/>
    <x v="0"/>
    <n v="13.75"/>
    <x v="121"/>
    <x v="1"/>
    <x v="0"/>
    <x v="1"/>
  </r>
  <r>
    <s v="BZE-96093-118"/>
    <x v="91"/>
    <x v="711"/>
    <s v="L-M-0.2"/>
    <n v="2"/>
    <x v="711"/>
    <s v="afilipczaklh@ning.com"/>
    <x v="1"/>
    <s v="Lib"/>
    <s v="M"/>
    <x v="3"/>
    <n v="4.3650000000000002"/>
    <x v="31"/>
    <x v="3"/>
    <x v="0"/>
    <x v="1"/>
  </r>
  <r>
    <s v="LOU-41819-242"/>
    <x v="272"/>
    <x v="712"/>
    <s v="R-M-1"/>
    <n v="2"/>
    <x v="712"/>
    <n v="0"/>
    <x v="0"/>
    <s v="Rob"/>
    <s v="M"/>
    <x v="0"/>
    <n v="9.9499999999999993"/>
    <x v="0"/>
    <x v="0"/>
    <x v="0"/>
    <x v="0"/>
  </r>
  <r>
    <s v="FND-99527-640"/>
    <x v="65"/>
    <x v="713"/>
    <s v="E-L-0.5"/>
    <n v="2"/>
    <x v="713"/>
    <s v="relnaughlj@comsenz.com"/>
    <x v="0"/>
    <s v="Exc"/>
    <s v="L"/>
    <x v="1"/>
    <n v="8.91"/>
    <x v="58"/>
    <x v="1"/>
    <x v="1"/>
    <x v="0"/>
  </r>
  <r>
    <s v="ASG-27179-958"/>
    <x v="580"/>
    <x v="714"/>
    <s v="A-M-0.5"/>
    <n v="3"/>
    <x v="714"/>
    <s v="jdeehanlk@about.me"/>
    <x v="0"/>
    <s v="Ara"/>
    <s v="M"/>
    <x v="1"/>
    <n v="6.75"/>
    <x v="16"/>
    <x v="2"/>
    <x v="0"/>
    <x v="1"/>
  </r>
  <r>
    <s v="YKX-23510-272"/>
    <x v="581"/>
    <x v="715"/>
    <s v="A-L-2.5"/>
    <n v="2"/>
    <x v="715"/>
    <s v="jedenll@e-recht24.de"/>
    <x v="0"/>
    <s v="Ara"/>
    <s v="L"/>
    <x v="2"/>
    <n v="29.784999999999997"/>
    <x v="120"/>
    <x v="2"/>
    <x v="1"/>
    <x v="1"/>
  </r>
  <r>
    <s v="FSA-98650-921"/>
    <x v="489"/>
    <x v="716"/>
    <s v="L-L-0.5"/>
    <n v="2"/>
    <x v="716"/>
    <s v="cjewsterlu@moonfruit.com"/>
    <x v="0"/>
    <s v="Lib"/>
    <s v="L"/>
    <x v="1"/>
    <n v="9.51"/>
    <x v="81"/>
    <x v="3"/>
    <x v="1"/>
    <x v="0"/>
  </r>
  <r>
    <s v="ZUR-55774-294"/>
    <x v="234"/>
    <x v="717"/>
    <s v="L-D-1"/>
    <n v="6"/>
    <x v="717"/>
    <s v="usoutherdenln@hao123.com"/>
    <x v="0"/>
    <s v="Lib"/>
    <s v="D"/>
    <x v="0"/>
    <n v="12.95"/>
    <x v="17"/>
    <x v="3"/>
    <x v="2"/>
    <x v="0"/>
  </r>
  <r>
    <s v="FUO-99821-974"/>
    <x v="175"/>
    <x v="718"/>
    <s v="E-M-1"/>
    <n v="3"/>
    <x v="718"/>
    <n v="0"/>
    <x v="0"/>
    <s v="Exc"/>
    <s v="M"/>
    <x v="0"/>
    <n v="13.75"/>
    <x v="1"/>
    <x v="1"/>
    <x v="0"/>
    <x v="1"/>
  </r>
  <r>
    <s v="YVH-19865-819"/>
    <x v="582"/>
    <x v="719"/>
    <s v="L-L-2.5"/>
    <n v="4"/>
    <x v="719"/>
    <s v="lburtenshawlp@shinystat.com"/>
    <x v="0"/>
    <s v="Lib"/>
    <s v="L"/>
    <x v="2"/>
    <n v="36.454999999999998"/>
    <x v="43"/>
    <x v="3"/>
    <x v="1"/>
    <x v="1"/>
  </r>
  <r>
    <s v="NNF-47422-501"/>
    <x v="583"/>
    <x v="720"/>
    <s v="E-L-0.2"/>
    <n v="6"/>
    <x v="720"/>
    <s v="agregorattilq@vistaprint.com"/>
    <x v="1"/>
    <s v="Exc"/>
    <s v="L"/>
    <x v="3"/>
    <n v="4.4550000000000001"/>
    <x v="149"/>
    <x v="1"/>
    <x v="1"/>
    <x v="1"/>
  </r>
  <r>
    <s v="RJI-71409-490"/>
    <x v="548"/>
    <x v="721"/>
    <s v="L-M-0.5"/>
    <n v="5"/>
    <x v="721"/>
    <s v="ccrosterlr@gov.uk"/>
    <x v="0"/>
    <s v="Lib"/>
    <s v="M"/>
    <x v="1"/>
    <n v="8.73"/>
    <x v="34"/>
    <x v="3"/>
    <x v="0"/>
    <x v="0"/>
  </r>
  <r>
    <s v="UZL-46108-213"/>
    <x v="584"/>
    <x v="722"/>
    <s v="L-L-1"/>
    <n v="2"/>
    <x v="722"/>
    <s v="gwhiteheadls@hp.com"/>
    <x v="0"/>
    <s v="Lib"/>
    <s v="L"/>
    <x v="0"/>
    <n v="15.85"/>
    <x v="124"/>
    <x v="3"/>
    <x v="1"/>
    <x v="1"/>
  </r>
  <r>
    <s v="AOX-44467-109"/>
    <x v="64"/>
    <x v="723"/>
    <s v="A-D-2.5"/>
    <n v="1"/>
    <x v="723"/>
    <s v="hjodrellelt@samsung.com"/>
    <x v="0"/>
    <s v="Ara"/>
    <s v="D"/>
    <x v="2"/>
    <n v="22.884999999999998"/>
    <x v="156"/>
    <x v="2"/>
    <x v="2"/>
    <x v="1"/>
  </r>
  <r>
    <s v="TZD-67261-174"/>
    <x v="585"/>
    <x v="716"/>
    <s v="E-D-2.5"/>
    <n v="1"/>
    <x v="716"/>
    <s v="cjewsterlu@moonfruit.com"/>
    <x v="0"/>
    <s v="Exc"/>
    <s v="D"/>
    <x v="2"/>
    <n v="27.945"/>
    <x v="140"/>
    <x v="1"/>
    <x v="2"/>
    <x v="0"/>
  </r>
  <r>
    <s v="TBU-64277-625"/>
    <x v="32"/>
    <x v="724"/>
    <s v="E-M-1"/>
    <n v="6"/>
    <x v="724"/>
    <n v="0"/>
    <x v="0"/>
    <s v="Exc"/>
    <s v="M"/>
    <x v="0"/>
    <n v="13.75"/>
    <x v="121"/>
    <x v="1"/>
    <x v="0"/>
    <x v="0"/>
  </r>
  <r>
    <s v="TYP-85767-944"/>
    <x v="586"/>
    <x v="725"/>
    <s v="R-M-2.5"/>
    <n v="2"/>
    <x v="725"/>
    <s v="knottramlw@odnoklassniki.ru"/>
    <x v="1"/>
    <s v="Rob"/>
    <s v="M"/>
    <x v="2"/>
    <n v="22.884999999999998"/>
    <x v="135"/>
    <x v="0"/>
    <x v="0"/>
    <x v="0"/>
  </r>
  <r>
    <s v="GTT-73214-334"/>
    <x v="535"/>
    <x v="726"/>
    <s v="A-L-1"/>
    <n v="6"/>
    <x v="726"/>
    <s v="nbuneylx@jugem.jp"/>
    <x v="0"/>
    <s v="Ara"/>
    <s v="L"/>
    <x v="0"/>
    <n v="12.95"/>
    <x v="17"/>
    <x v="2"/>
    <x v="1"/>
    <x v="1"/>
  </r>
  <r>
    <s v="WAI-89905-069"/>
    <x v="587"/>
    <x v="727"/>
    <s v="A-L-0.5"/>
    <n v="3"/>
    <x v="727"/>
    <s v="smcshealy@photobucket.com"/>
    <x v="0"/>
    <s v="Ara"/>
    <s v="L"/>
    <x v="1"/>
    <n v="7.77"/>
    <x v="102"/>
    <x v="2"/>
    <x v="1"/>
    <x v="1"/>
  </r>
  <r>
    <s v="OJL-96844-459"/>
    <x v="393"/>
    <x v="728"/>
    <s v="L-L-0.2"/>
    <n v="5"/>
    <x v="728"/>
    <s v="khuddartlz@about.com"/>
    <x v="0"/>
    <s v="Lib"/>
    <s v="L"/>
    <x v="3"/>
    <n v="4.7549999999999999"/>
    <x v="29"/>
    <x v="3"/>
    <x v="1"/>
    <x v="0"/>
  </r>
  <r>
    <s v="VGI-33205-360"/>
    <x v="588"/>
    <x v="729"/>
    <s v="L-M-0.5"/>
    <n v="6"/>
    <x v="729"/>
    <s v="jgippesm0@cloudflare.com"/>
    <x v="2"/>
    <s v="Lib"/>
    <s v="M"/>
    <x v="1"/>
    <n v="8.73"/>
    <x v="28"/>
    <x v="3"/>
    <x v="0"/>
    <x v="0"/>
  </r>
  <r>
    <s v="PCA-14081-576"/>
    <x v="15"/>
    <x v="730"/>
    <s v="R-L-0.2"/>
    <n v="5"/>
    <x v="730"/>
    <s v="lwhittleseem1@e-recht24.de"/>
    <x v="0"/>
    <s v="Rob"/>
    <s v="L"/>
    <x v="3"/>
    <n v="3.5849999999999995"/>
    <x v="131"/>
    <x v="0"/>
    <x v="1"/>
    <x v="1"/>
  </r>
  <r>
    <s v="SCS-67069-962"/>
    <x v="507"/>
    <x v="731"/>
    <s v="A-L-2.5"/>
    <n v="5"/>
    <x v="731"/>
    <s v="gtrengrovem2@elpais.com"/>
    <x v="0"/>
    <s v="Ara"/>
    <s v="L"/>
    <x v="2"/>
    <n v="29.784999999999997"/>
    <x v="74"/>
    <x v="2"/>
    <x v="1"/>
    <x v="1"/>
  </r>
  <r>
    <s v="BDM-03174-485"/>
    <x v="533"/>
    <x v="732"/>
    <s v="R-L-0.5"/>
    <n v="4"/>
    <x v="732"/>
    <s v="wcalderom3@stumbleupon.com"/>
    <x v="0"/>
    <s v="Rob"/>
    <s v="L"/>
    <x v="1"/>
    <n v="7.169999999999999"/>
    <x v="139"/>
    <x v="0"/>
    <x v="1"/>
    <x v="1"/>
  </r>
  <r>
    <s v="UJV-32333-364"/>
    <x v="589"/>
    <x v="733"/>
    <s v="L-L-0.5"/>
    <n v="1"/>
    <x v="733"/>
    <n v="0"/>
    <x v="0"/>
    <s v="Lib"/>
    <s v="L"/>
    <x v="1"/>
    <n v="9.51"/>
    <x v="54"/>
    <x v="3"/>
    <x v="1"/>
    <x v="1"/>
  </r>
  <r>
    <s v="FLI-11493-954"/>
    <x v="590"/>
    <x v="734"/>
    <s v="A-L-0.5"/>
    <n v="4"/>
    <x v="734"/>
    <s v="jkennicottm5@yahoo.co.jp"/>
    <x v="0"/>
    <s v="Ara"/>
    <s v="L"/>
    <x v="1"/>
    <n v="7.77"/>
    <x v="113"/>
    <x v="2"/>
    <x v="1"/>
    <x v="1"/>
  </r>
  <r>
    <s v="IWL-13117-537"/>
    <x v="457"/>
    <x v="735"/>
    <s v="R-D-0.2"/>
    <n v="3"/>
    <x v="735"/>
    <s v="gruggenm6@nymag.com"/>
    <x v="0"/>
    <s v="Rob"/>
    <s v="D"/>
    <x v="3"/>
    <n v="2.6849999999999996"/>
    <x v="36"/>
    <x v="0"/>
    <x v="2"/>
    <x v="0"/>
  </r>
  <r>
    <s v="OAM-76916-748"/>
    <x v="591"/>
    <x v="736"/>
    <s v="E-D-1"/>
    <n v="3"/>
    <x v="736"/>
    <n v="0"/>
    <x v="0"/>
    <s v="Exc"/>
    <s v="D"/>
    <x v="0"/>
    <n v="12.15"/>
    <x v="114"/>
    <x v="1"/>
    <x v="2"/>
    <x v="0"/>
  </r>
  <r>
    <s v="UMB-11223-710"/>
    <x v="592"/>
    <x v="737"/>
    <s v="R-D-0.2"/>
    <n v="6"/>
    <x v="737"/>
    <s v="mfrightm8@harvard.edu"/>
    <x v="1"/>
    <s v="Rob"/>
    <s v="D"/>
    <x v="3"/>
    <n v="2.6849999999999996"/>
    <x v="103"/>
    <x v="0"/>
    <x v="2"/>
    <x v="1"/>
  </r>
  <r>
    <s v="LXR-09892-726"/>
    <x v="402"/>
    <x v="738"/>
    <s v="R-D-2.5"/>
    <n v="2"/>
    <x v="738"/>
    <s v="btartem9@aol.com"/>
    <x v="0"/>
    <s v="Rob"/>
    <s v="D"/>
    <x v="2"/>
    <n v="20.584999999999997"/>
    <x v="13"/>
    <x v="0"/>
    <x v="2"/>
    <x v="0"/>
  </r>
  <r>
    <s v="QXX-89943-393"/>
    <x v="593"/>
    <x v="739"/>
    <s v="R-D-0.2"/>
    <n v="4"/>
    <x v="739"/>
    <s v="ckrzysztofiakma@skyrock.com"/>
    <x v="0"/>
    <s v="Rob"/>
    <s v="D"/>
    <x v="3"/>
    <n v="2.6849999999999996"/>
    <x v="175"/>
    <x v="0"/>
    <x v="2"/>
    <x v="1"/>
  </r>
  <r>
    <s v="WVS-57822-366"/>
    <x v="594"/>
    <x v="740"/>
    <s v="E-M-2.5"/>
    <n v="4"/>
    <x v="740"/>
    <s v="dpenquetmb@diigo.com"/>
    <x v="0"/>
    <s v="Exc"/>
    <s v="M"/>
    <x v="2"/>
    <n v="31.624999999999996"/>
    <x v="177"/>
    <x v="1"/>
    <x v="0"/>
    <x v="1"/>
  </r>
  <r>
    <s v="CLJ-23403-689"/>
    <x v="77"/>
    <x v="741"/>
    <s v="R-L-1"/>
    <n v="2"/>
    <x v="741"/>
    <n v="0"/>
    <x v="2"/>
    <s v="Rob"/>
    <s v="L"/>
    <x v="0"/>
    <n v="11.95"/>
    <x v="178"/>
    <x v="0"/>
    <x v="1"/>
    <x v="1"/>
  </r>
  <r>
    <s v="XNU-83276-288"/>
    <x v="595"/>
    <x v="742"/>
    <s v="R-M-0.5"/>
    <n v="1"/>
    <x v="742"/>
    <n v="0"/>
    <x v="0"/>
    <s v="Rob"/>
    <s v="M"/>
    <x v="1"/>
    <n v="5.97"/>
    <x v="9"/>
    <x v="0"/>
    <x v="0"/>
    <x v="1"/>
  </r>
  <r>
    <s v="YOG-94666-679"/>
    <x v="596"/>
    <x v="743"/>
    <s v="L-D-0.2"/>
    <n v="2"/>
    <x v="743"/>
    <n v="0"/>
    <x v="2"/>
    <s v="Lib"/>
    <s v="D"/>
    <x v="3"/>
    <n v="3.8849999999999998"/>
    <x v="41"/>
    <x v="3"/>
    <x v="2"/>
    <x v="0"/>
  </r>
  <r>
    <s v="KHG-33953-115"/>
    <x v="514"/>
    <x v="744"/>
    <s v="L-D-0.5"/>
    <n v="3"/>
    <x v="744"/>
    <s v="kferrettimf@huffingtonpost.com"/>
    <x v="1"/>
    <s v="Lib"/>
    <s v="D"/>
    <x v="1"/>
    <n v="7.77"/>
    <x v="102"/>
    <x v="3"/>
    <x v="2"/>
    <x v="1"/>
  </r>
  <r>
    <s v="MHD-95615-696"/>
    <x v="54"/>
    <x v="745"/>
    <s v="R-L-2.5"/>
    <n v="5"/>
    <x v="745"/>
    <n v="0"/>
    <x v="0"/>
    <s v="Rob"/>
    <s v="L"/>
    <x v="2"/>
    <n v="27.484999999999996"/>
    <x v="187"/>
    <x v="0"/>
    <x v="1"/>
    <x v="1"/>
  </r>
  <r>
    <s v="HBH-64794-080"/>
    <x v="597"/>
    <x v="746"/>
    <s v="R-D-0.2"/>
    <n v="3"/>
    <x v="746"/>
    <n v="0"/>
    <x v="0"/>
    <s v="Rob"/>
    <s v="D"/>
    <x v="3"/>
    <n v="2.6849999999999996"/>
    <x v="36"/>
    <x v="0"/>
    <x v="2"/>
    <x v="0"/>
  </r>
  <r>
    <s v="CNJ-56058-223"/>
    <x v="105"/>
    <x v="747"/>
    <s v="L-L-0.5"/>
    <n v="3"/>
    <x v="747"/>
    <s v="abalsdonemi@toplist.cz"/>
    <x v="0"/>
    <s v="Lib"/>
    <s v="L"/>
    <x v="1"/>
    <n v="9.51"/>
    <x v="32"/>
    <x v="3"/>
    <x v="1"/>
    <x v="1"/>
  </r>
  <r>
    <s v="KHO-27106-786"/>
    <x v="210"/>
    <x v="748"/>
    <s v="A-M-1"/>
    <n v="6"/>
    <x v="748"/>
    <s v="bromeramj@list-manage.com"/>
    <x v="1"/>
    <s v="Ara"/>
    <s v="M"/>
    <x v="0"/>
    <n v="11.25"/>
    <x v="173"/>
    <x v="2"/>
    <x v="0"/>
    <x v="0"/>
  </r>
  <r>
    <s v="KHO-27106-786"/>
    <x v="210"/>
    <x v="748"/>
    <s v="L-D-2.5"/>
    <n v="6"/>
    <x v="748"/>
    <s v="bromeramj@list-manage.com"/>
    <x v="1"/>
    <s v="Lib"/>
    <s v="D"/>
    <x v="2"/>
    <n v="29.784999999999997"/>
    <x v="39"/>
    <x v="3"/>
    <x v="2"/>
    <x v="0"/>
  </r>
  <r>
    <s v="YAC-50329-982"/>
    <x v="598"/>
    <x v="749"/>
    <s v="E-M-2.5"/>
    <n v="1"/>
    <x v="749"/>
    <s v="cbrydeml@tuttocitta.it"/>
    <x v="0"/>
    <s v="Exc"/>
    <s v="M"/>
    <x v="2"/>
    <n v="31.624999999999996"/>
    <x v="176"/>
    <x v="1"/>
    <x v="0"/>
    <x v="0"/>
  </r>
  <r>
    <s v="VVL-95291-039"/>
    <x v="360"/>
    <x v="750"/>
    <s v="E-L-0.2"/>
    <n v="2"/>
    <x v="750"/>
    <s v="senefermm@blog.com"/>
    <x v="0"/>
    <s v="Exc"/>
    <s v="L"/>
    <x v="3"/>
    <n v="4.4550000000000001"/>
    <x v="161"/>
    <x v="1"/>
    <x v="1"/>
    <x v="1"/>
  </r>
  <r>
    <s v="VUT-20974-364"/>
    <x v="62"/>
    <x v="751"/>
    <s v="R-M-0.5"/>
    <n v="6"/>
    <x v="751"/>
    <s v="lhaggerstonemn@independent.co.uk"/>
    <x v="0"/>
    <s v="Rob"/>
    <s v="M"/>
    <x v="1"/>
    <n v="5.97"/>
    <x v="27"/>
    <x v="0"/>
    <x v="0"/>
    <x v="1"/>
  </r>
  <r>
    <s v="SFC-34054-213"/>
    <x v="599"/>
    <x v="752"/>
    <s v="L-L-0.5"/>
    <n v="4"/>
    <x v="752"/>
    <s v="mgundrymo@omniture.com"/>
    <x v="1"/>
    <s v="Lib"/>
    <s v="L"/>
    <x v="1"/>
    <n v="9.51"/>
    <x v="82"/>
    <x v="3"/>
    <x v="1"/>
    <x v="1"/>
  </r>
  <r>
    <s v="UDS-04807-593"/>
    <x v="600"/>
    <x v="753"/>
    <s v="L-D-0.5"/>
    <n v="2"/>
    <x v="753"/>
    <s v="bwellanmp@cafepress.com"/>
    <x v="0"/>
    <s v="Lib"/>
    <s v="D"/>
    <x v="1"/>
    <n v="7.77"/>
    <x v="42"/>
    <x v="3"/>
    <x v="2"/>
    <x v="1"/>
  </r>
  <r>
    <s v="FWE-98471-488"/>
    <x v="601"/>
    <x v="745"/>
    <s v="L-L-1"/>
    <n v="5"/>
    <x v="745"/>
    <n v="0"/>
    <x v="0"/>
    <s v="Lib"/>
    <s v="L"/>
    <x v="0"/>
    <n v="15.85"/>
    <x v="180"/>
    <x v="3"/>
    <x v="1"/>
    <x v="1"/>
  </r>
  <r>
    <s v="RAU-17060-674"/>
    <x v="602"/>
    <x v="754"/>
    <s v="L-L-0.2"/>
    <n v="1"/>
    <x v="754"/>
    <s v="catchesonmr@xinhuanet.com"/>
    <x v="0"/>
    <s v="Lib"/>
    <s v="L"/>
    <x v="3"/>
    <n v="4.7549999999999999"/>
    <x v="7"/>
    <x v="3"/>
    <x v="1"/>
    <x v="0"/>
  </r>
  <r>
    <s v="AOL-13866-711"/>
    <x v="603"/>
    <x v="755"/>
    <s v="E-M-1"/>
    <n v="4"/>
    <x v="755"/>
    <s v="estentonms@google.it"/>
    <x v="0"/>
    <s v="Exc"/>
    <s v="M"/>
    <x v="0"/>
    <n v="13.75"/>
    <x v="193"/>
    <x v="1"/>
    <x v="0"/>
    <x v="0"/>
  </r>
  <r>
    <s v="NOA-79645-377"/>
    <x v="604"/>
    <x v="756"/>
    <s v="R-D-0.5"/>
    <n v="5"/>
    <x v="756"/>
    <s v="etrippmt@wp.com"/>
    <x v="0"/>
    <s v="Rob"/>
    <s v="D"/>
    <x v="1"/>
    <n v="5.3699999999999992"/>
    <x v="51"/>
    <x v="0"/>
    <x v="2"/>
    <x v="1"/>
  </r>
  <r>
    <s v="KMS-49214-806"/>
    <x v="605"/>
    <x v="757"/>
    <s v="E-L-2.5"/>
    <n v="4"/>
    <x v="757"/>
    <s v="lmacmanusmu@imdb.com"/>
    <x v="0"/>
    <s v="Exc"/>
    <s v="L"/>
    <x v="2"/>
    <n v="34.154999999999994"/>
    <x v="56"/>
    <x v="1"/>
    <x v="1"/>
    <x v="1"/>
  </r>
  <r>
    <s v="ABK-08091-531"/>
    <x v="606"/>
    <x v="758"/>
    <s v="L-L-1"/>
    <n v="3"/>
    <x v="758"/>
    <s v="tbenediktovichmv@ebay.com"/>
    <x v="0"/>
    <s v="Lib"/>
    <s v="L"/>
    <x v="0"/>
    <n v="15.85"/>
    <x v="46"/>
    <x v="3"/>
    <x v="1"/>
    <x v="0"/>
  </r>
  <r>
    <s v="GPT-67705-953"/>
    <x v="446"/>
    <x v="759"/>
    <s v="A-M-0.2"/>
    <n v="5"/>
    <x v="759"/>
    <s v="cbournermw@chronoengine.com"/>
    <x v="0"/>
    <s v="Ara"/>
    <s v="M"/>
    <x v="3"/>
    <n v="3.375"/>
    <x v="19"/>
    <x v="2"/>
    <x v="0"/>
    <x v="0"/>
  </r>
  <r>
    <s v="JNA-21450-177"/>
    <x v="18"/>
    <x v="760"/>
    <s v="A-D-1"/>
    <n v="3"/>
    <x v="760"/>
    <s v="oskermen3@hatena.ne.jp"/>
    <x v="0"/>
    <s v="Ara"/>
    <s v="D"/>
    <x v="0"/>
    <n v="9.9499999999999993"/>
    <x v="44"/>
    <x v="2"/>
    <x v="2"/>
    <x v="0"/>
  </r>
  <r>
    <s v="MPQ-23421-608"/>
    <x v="180"/>
    <x v="761"/>
    <s v="E-M-0.5"/>
    <n v="5"/>
    <x v="761"/>
    <s v="kheddanmy@icq.com"/>
    <x v="0"/>
    <s v="Exc"/>
    <s v="M"/>
    <x v="1"/>
    <n v="8.25"/>
    <x v="1"/>
    <x v="1"/>
    <x v="0"/>
    <x v="0"/>
  </r>
  <r>
    <s v="NLI-63891-565"/>
    <x v="580"/>
    <x v="762"/>
    <s v="E-M-0.2"/>
    <n v="5"/>
    <x v="762"/>
    <s v="ichartersmz@abc.net.au"/>
    <x v="0"/>
    <s v="Exc"/>
    <s v="M"/>
    <x v="3"/>
    <n v="4.125"/>
    <x v="132"/>
    <x v="1"/>
    <x v="0"/>
    <x v="1"/>
  </r>
  <r>
    <s v="HHF-36647-854"/>
    <x v="453"/>
    <x v="763"/>
    <s v="A-D-2.5"/>
    <n v="6"/>
    <x v="763"/>
    <s v="aroubertn0@tmall.com"/>
    <x v="0"/>
    <s v="Ara"/>
    <s v="D"/>
    <x v="2"/>
    <n v="22.884999999999998"/>
    <x v="170"/>
    <x v="2"/>
    <x v="2"/>
    <x v="0"/>
  </r>
  <r>
    <s v="SBN-16537-046"/>
    <x v="259"/>
    <x v="764"/>
    <s v="A-D-0.2"/>
    <n v="1"/>
    <x v="764"/>
    <s v="hmairsn1@so-net.ne.jp"/>
    <x v="0"/>
    <s v="Ara"/>
    <s v="D"/>
    <x v="3"/>
    <n v="2.9849999999999999"/>
    <x v="55"/>
    <x v="2"/>
    <x v="2"/>
    <x v="1"/>
  </r>
  <r>
    <s v="XZD-44484-632"/>
    <x v="607"/>
    <x v="765"/>
    <s v="E-M-1"/>
    <n v="2"/>
    <x v="765"/>
    <s v="hrainforthn2@blog.com"/>
    <x v="0"/>
    <s v="Exc"/>
    <s v="M"/>
    <x v="0"/>
    <n v="13.75"/>
    <x v="3"/>
    <x v="1"/>
    <x v="0"/>
    <x v="1"/>
  </r>
  <r>
    <s v="XZD-44484-632"/>
    <x v="607"/>
    <x v="765"/>
    <s v="A-D-0.2"/>
    <n v="2"/>
    <x v="765"/>
    <s v="hrainforthn2@blog.com"/>
    <x v="0"/>
    <s v="Ara"/>
    <s v="D"/>
    <x v="3"/>
    <n v="2.9849999999999999"/>
    <x v="9"/>
    <x v="2"/>
    <x v="2"/>
    <x v="1"/>
  </r>
  <r>
    <s v="IKQ-39946-768"/>
    <x v="385"/>
    <x v="766"/>
    <s v="R-M-1"/>
    <n v="6"/>
    <x v="766"/>
    <s v="ijespern4@theglobeandmail.com"/>
    <x v="0"/>
    <s v="Rob"/>
    <s v="M"/>
    <x v="0"/>
    <n v="9.9499999999999993"/>
    <x v="33"/>
    <x v="0"/>
    <x v="0"/>
    <x v="1"/>
  </r>
  <r>
    <s v="KMB-95211-174"/>
    <x v="608"/>
    <x v="767"/>
    <s v="R-D-2.5"/>
    <n v="4"/>
    <x v="767"/>
    <s v="ldwerryhousen5@gravatar.com"/>
    <x v="0"/>
    <s v="Rob"/>
    <s v="D"/>
    <x v="2"/>
    <n v="20.584999999999997"/>
    <x v="18"/>
    <x v="0"/>
    <x v="2"/>
    <x v="0"/>
  </r>
  <r>
    <s v="QWY-99467-368"/>
    <x v="609"/>
    <x v="768"/>
    <s v="A-D-2.5"/>
    <n v="1"/>
    <x v="768"/>
    <s v="nbroomern6@examiner.com"/>
    <x v="0"/>
    <s v="Ara"/>
    <s v="D"/>
    <x v="2"/>
    <n v="22.884999999999998"/>
    <x v="156"/>
    <x v="2"/>
    <x v="2"/>
    <x v="1"/>
  </r>
  <r>
    <s v="SRG-76791-614"/>
    <x v="147"/>
    <x v="769"/>
    <s v="E-L-0.5"/>
    <n v="1"/>
    <x v="769"/>
    <s v="kthoumassonn7@bloglovin.com"/>
    <x v="0"/>
    <s v="Exc"/>
    <s v="L"/>
    <x v="1"/>
    <n v="8.91"/>
    <x v="161"/>
    <x v="1"/>
    <x v="1"/>
    <x v="0"/>
  </r>
  <r>
    <s v="VSN-94485-621"/>
    <x v="172"/>
    <x v="770"/>
    <s v="A-D-0.2"/>
    <n v="4"/>
    <x v="770"/>
    <s v="fhabberghamn8@discovery.com"/>
    <x v="0"/>
    <s v="Ara"/>
    <s v="D"/>
    <x v="3"/>
    <n v="2.9849999999999999"/>
    <x v="22"/>
    <x v="2"/>
    <x v="2"/>
    <x v="1"/>
  </r>
  <r>
    <s v="UFZ-24348-219"/>
    <x v="610"/>
    <x v="745"/>
    <s v="L-M-2.5"/>
    <n v="3"/>
    <x v="745"/>
    <n v="0"/>
    <x v="0"/>
    <s v="Lib"/>
    <s v="M"/>
    <x v="2"/>
    <n v="33.464999999999996"/>
    <x v="64"/>
    <x v="3"/>
    <x v="0"/>
    <x v="1"/>
  </r>
  <r>
    <s v="UKS-93055-397"/>
    <x v="611"/>
    <x v="771"/>
    <s v="A-D-2.5"/>
    <n v="5"/>
    <x v="771"/>
    <s v="ravrashinna@tamu.edu"/>
    <x v="0"/>
    <s v="Ara"/>
    <s v="D"/>
    <x v="2"/>
    <n v="22.884999999999998"/>
    <x v="15"/>
    <x v="2"/>
    <x v="2"/>
    <x v="1"/>
  </r>
  <r>
    <s v="AVH-56062-335"/>
    <x v="612"/>
    <x v="772"/>
    <s v="E-M-0.5"/>
    <n v="5"/>
    <x v="772"/>
    <s v="mdoidgenb@etsy.com"/>
    <x v="0"/>
    <s v="Exc"/>
    <s v="M"/>
    <x v="1"/>
    <n v="8.25"/>
    <x v="1"/>
    <x v="1"/>
    <x v="0"/>
    <x v="1"/>
  </r>
  <r>
    <s v="HGE-19842-613"/>
    <x v="613"/>
    <x v="773"/>
    <s v="R-L-0.5"/>
    <n v="4"/>
    <x v="773"/>
    <s v="jedinboronc@reverbnation.com"/>
    <x v="0"/>
    <s v="Rob"/>
    <s v="L"/>
    <x v="1"/>
    <n v="7.169999999999999"/>
    <x v="139"/>
    <x v="0"/>
    <x v="1"/>
    <x v="0"/>
  </r>
  <r>
    <s v="WBA-85905-175"/>
    <x v="611"/>
    <x v="774"/>
    <s v="L-M-0.2"/>
    <n v="1"/>
    <x v="774"/>
    <s v="ttewelsonnd@cdbaby.com"/>
    <x v="0"/>
    <s v="Lib"/>
    <s v="M"/>
    <x v="3"/>
    <n v="4.3650000000000002"/>
    <x v="189"/>
    <x v="3"/>
    <x v="0"/>
    <x v="1"/>
  </r>
  <r>
    <s v="DZI-35365-596"/>
    <x v="493"/>
    <x v="760"/>
    <s v="E-M-0.2"/>
    <n v="2"/>
    <x v="760"/>
    <s v="oskermen3@hatena.ne.jp"/>
    <x v="0"/>
    <s v="Exc"/>
    <s v="M"/>
    <x v="3"/>
    <n v="4.125"/>
    <x v="112"/>
    <x v="1"/>
    <x v="0"/>
    <x v="0"/>
  </r>
  <r>
    <s v="XIR-88982-743"/>
    <x v="614"/>
    <x v="775"/>
    <s v="E-M-0.2"/>
    <n v="2"/>
    <x v="775"/>
    <s v="ddrewittnf@mapquest.com"/>
    <x v="0"/>
    <s v="Exc"/>
    <s v="M"/>
    <x v="3"/>
    <n v="4.125"/>
    <x v="112"/>
    <x v="1"/>
    <x v="0"/>
    <x v="0"/>
  </r>
  <r>
    <s v="VUC-72395-865"/>
    <x v="151"/>
    <x v="776"/>
    <s v="A-D-0.5"/>
    <n v="6"/>
    <x v="776"/>
    <s v="agladhillng@stanford.edu"/>
    <x v="0"/>
    <s v="Ara"/>
    <s v="D"/>
    <x v="1"/>
    <n v="5.97"/>
    <x v="27"/>
    <x v="2"/>
    <x v="2"/>
    <x v="0"/>
  </r>
  <r>
    <s v="BQJ-44755-910"/>
    <x v="489"/>
    <x v="777"/>
    <s v="E-D-2.5"/>
    <n v="6"/>
    <x v="777"/>
    <s v="mlorineznh@whitehouse.gov"/>
    <x v="0"/>
    <s v="Exc"/>
    <s v="D"/>
    <x v="2"/>
    <n v="27.945"/>
    <x v="164"/>
    <x v="1"/>
    <x v="2"/>
    <x v="1"/>
  </r>
  <r>
    <s v="JKC-64636-831"/>
    <x v="615"/>
    <x v="778"/>
    <s v="A-M-2.5"/>
    <n v="2"/>
    <x v="778"/>
    <n v="0"/>
    <x v="0"/>
    <s v="Ara"/>
    <s v="M"/>
    <x v="2"/>
    <n v="25.874999999999996"/>
    <x v="95"/>
    <x v="2"/>
    <x v="0"/>
    <x v="0"/>
  </r>
  <r>
    <s v="ZKI-78561-066"/>
    <x v="616"/>
    <x v="779"/>
    <s v="A-D-0.2"/>
    <n v="3"/>
    <x v="779"/>
    <s v="mvannj@wikipedia.org"/>
    <x v="0"/>
    <s v="Ara"/>
    <s v="D"/>
    <x v="3"/>
    <n v="2.9849999999999999"/>
    <x v="169"/>
    <x v="2"/>
    <x v="2"/>
    <x v="0"/>
  </r>
  <r>
    <s v="IMP-12563-728"/>
    <x v="578"/>
    <x v="780"/>
    <s v="E-L-0.5"/>
    <n v="6"/>
    <x v="780"/>
    <n v="0"/>
    <x v="0"/>
    <s v="Exc"/>
    <s v="L"/>
    <x v="1"/>
    <n v="8.91"/>
    <x v="119"/>
    <x v="1"/>
    <x v="1"/>
    <x v="1"/>
  </r>
  <r>
    <s v="MZL-81126-390"/>
    <x v="617"/>
    <x v="781"/>
    <s v="A-L-0.2"/>
    <n v="6"/>
    <x v="781"/>
    <s v="jethelstonnl@creativecommons.org"/>
    <x v="0"/>
    <s v="Ara"/>
    <s v="L"/>
    <x v="3"/>
    <n v="3.8849999999999998"/>
    <x v="102"/>
    <x v="2"/>
    <x v="1"/>
    <x v="0"/>
  </r>
  <r>
    <s v="MZL-81126-390"/>
    <x v="617"/>
    <x v="781"/>
    <s v="A-M-0.2"/>
    <n v="2"/>
    <x v="781"/>
    <s v="jethelstonnl@creativecommons.org"/>
    <x v="0"/>
    <s v="Ara"/>
    <s v="M"/>
    <x v="3"/>
    <n v="3.375"/>
    <x v="52"/>
    <x v="2"/>
    <x v="0"/>
    <x v="0"/>
  </r>
  <r>
    <s v="TVF-57766-608"/>
    <x v="155"/>
    <x v="782"/>
    <s v="L-D-0.5"/>
    <n v="1"/>
    <x v="782"/>
    <s v="peberznn@woothemes.com"/>
    <x v="0"/>
    <s v="Lib"/>
    <s v="D"/>
    <x v="1"/>
    <n v="7.77"/>
    <x v="41"/>
    <x v="3"/>
    <x v="2"/>
    <x v="0"/>
  </r>
  <r>
    <s v="RUX-37995-892"/>
    <x v="461"/>
    <x v="783"/>
    <s v="L-D-2.5"/>
    <n v="4"/>
    <x v="783"/>
    <s v="bgaishno@altervista.org"/>
    <x v="0"/>
    <s v="Lib"/>
    <s v="D"/>
    <x v="2"/>
    <n v="29.784999999999997"/>
    <x v="129"/>
    <x v="3"/>
    <x v="2"/>
    <x v="0"/>
  </r>
  <r>
    <s v="AVK-76526-953"/>
    <x v="87"/>
    <x v="784"/>
    <s v="A-D-1"/>
    <n v="2"/>
    <x v="784"/>
    <s v="ldantonnp@miitbeian.gov.cn"/>
    <x v="0"/>
    <s v="Ara"/>
    <s v="D"/>
    <x v="0"/>
    <n v="9.9499999999999993"/>
    <x v="0"/>
    <x v="2"/>
    <x v="2"/>
    <x v="1"/>
  </r>
  <r>
    <s v="RIU-02231-623"/>
    <x v="618"/>
    <x v="785"/>
    <s v="R-L-0.5"/>
    <n v="5"/>
    <x v="785"/>
    <s v="smorrallnq@answers.com"/>
    <x v="0"/>
    <s v="Rob"/>
    <s v="L"/>
    <x v="1"/>
    <n v="7.169999999999999"/>
    <x v="66"/>
    <x v="0"/>
    <x v="1"/>
    <x v="0"/>
  </r>
  <r>
    <s v="WFK-99317-827"/>
    <x v="619"/>
    <x v="786"/>
    <s v="L-D-2.5"/>
    <n v="3"/>
    <x v="786"/>
    <s v="dcrownshawnr@photobucket.com"/>
    <x v="0"/>
    <s v="Lib"/>
    <s v="D"/>
    <x v="2"/>
    <n v="29.784999999999997"/>
    <x v="49"/>
    <x v="3"/>
    <x v="2"/>
    <x v="1"/>
  </r>
  <r>
    <s v="SFD-00372-284"/>
    <x v="440"/>
    <x v="760"/>
    <s v="L-M-0.2"/>
    <n v="2"/>
    <x v="760"/>
    <s v="oskermen3@hatena.ne.jp"/>
    <x v="0"/>
    <s v="Lib"/>
    <s v="M"/>
    <x v="3"/>
    <n v="4.3650000000000002"/>
    <x v="31"/>
    <x v="3"/>
    <x v="0"/>
    <x v="0"/>
  </r>
  <r>
    <s v="SXC-62166-515"/>
    <x v="489"/>
    <x v="787"/>
    <s v="R-L-2.5"/>
    <n v="5"/>
    <x v="787"/>
    <s v="jreddochnt@sun.com"/>
    <x v="0"/>
    <s v="Rob"/>
    <s v="L"/>
    <x v="2"/>
    <n v="27.484999999999996"/>
    <x v="187"/>
    <x v="0"/>
    <x v="1"/>
    <x v="1"/>
  </r>
  <r>
    <s v="YIE-87008-621"/>
    <x v="620"/>
    <x v="788"/>
    <s v="L-M-0.5"/>
    <n v="4"/>
    <x v="788"/>
    <s v="stitleynu@whitehouse.gov"/>
    <x v="0"/>
    <s v="Lib"/>
    <s v="M"/>
    <x v="1"/>
    <n v="8.73"/>
    <x v="190"/>
    <x v="3"/>
    <x v="0"/>
    <x v="1"/>
  </r>
  <r>
    <s v="HRM-94548-288"/>
    <x v="621"/>
    <x v="789"/>
    <s v="A-L-2.5"/>
    <n v="6"/>
    <x v="789"/>
    <s v="rsimaonv@simplemachines.org"/>
    <x v="0"/>
    <s v="Ara"/>
    <s v="L"/>
    <x v="2"/>
    <n v="29.784999999999997"/>
    <x v="39"/>
    <x v="2"/>
    <x v="1"/>
    <x v="1"/>
  </r>
  <r>
    <s v="UJG-34731-295"/>
    <x v="374"/>
    <x v="790"/>
    <s v="A-M-2.5"/>
    <n v="1"/>
    <x v="790"/>
    <n v="0"/>
    <x v="0"/>
    <s v="Ara"/>
    <s v="M"/>
    <x v="2"/>
    <n v="25.874999999999996"/>
    <x v="145"/>
    <x v="2"/>
    <x v="0"/>
    <x v="1"/>
  </r>
  <r>
    <s v="TWD-70988-853"/>
    <x v="345"/>
    <x v="791"/>
    <s v="L-D-1"/>
    <n v="6"/>
    <x v="791"/>
    <s v="nchisholmnx@example.com"/>
    <x v="0"/>
    <s v="Lib"/>
    <s v="D"/>
    <x v="0"/>
    <n v="12.95"/>
    <x v="17"/>
    <x v="3"/>
    <x v="2"/>
    <x v="0"/>
  </r>
  <r>
    <s v="CIX-22904-641"/>
    <x v="622"/>
    <x v="792"/>
    <s v="R-M-1"/>
    <n v="1"/>
    <x v="792"/>
    <s v="goatsny@live.com"/>
    <x v="0"/>
    <s v="Rob"/>
    <s v="M"/>
    <x v="0"/>
    <n v="9.9499999999999993"/>
    <x v="138"/>
    <x v="0"/>
    <x v="0"/>
    <x v="0"/>
  </r>
  <r>
    <s v="DLV-65840-759"/>
    <x v="623"/>
    <x v="793"/>
    <s v="L-M-1"/>
    <n v="2"/>
    <x v="793"/>
    <s v="mbirkinnz@java.com"/>
    <x v="0"/>
    <s v="Lib"/>
    <s v="M"/>
    <x v="0"/>
    <n v="14.55"/>
    <x v="194"/>
    <x v="3"/>
    <x v="0"/>
    <x v="0"/>
  </r>
  <r>
    <s v="RXN-55491-201"/>
    <x v="354"/>
    <x v="794"/>
    <s v="R-L-0.2"/>
    <n v="6"/>
    <x v="794"/>
    <s v="rpysono0@constantcontact.com"/>
    <x v="1"/>
    <s v="Rob"/>
    <s v="L"/>
    <x v="3"/>
    <n v="3.5849999999999995"/>
    <x v="137"/>
    <x v="0"/>
    <x v="1"/>
    <x v="1"/>
  </r>
  <r>
    <s v="UHK-63283-868"/>
    <x v="624"/>
    <x v="795"/>
    <s v="A-M-0.5"/>
    <n v="1"/>
    <x v="795"/>
    <s v="mmacconnechieo9@reuters.com"/>
    <x v="0"/>
    <s v="Ara"/>
    <s v="M"/>
    <x v="1"/>
    <n v="6.75"/>
    <x v="52"/>
    <x v="2"/>
    <x v="0"/>
    <x v="0"/>
  </r>
  <r>
    <s v="PJC-31401-893"/>
    <x v="561"/>
    <x v="796"/>
    <s v="A-D-0.5"/>
    <n v="3"/>
    <x v="796"/>
    <s v="rtreachero2@usa.gov"/>
    <x v="1"/>
    <s v="Ara"/>
    <s v="D"/>
    <x v="1"/>
    <n v="5.97"/>
    <x v="8"/>
    <x v="2"/>
    <x v="2"/>
    <x v="1"/>
  </r>
  <r>
    <s v="HHO-79903-185"/>
    <x v="42"/>
    <x v="797"/>
    <s v="A-L-2.5"/>
    <n v="1"/>
    <x v="797"/>
    <s v="bfattorinio3@quantcast.com"/>
    <x v="1"/>
    <s v="Ara"/>
    <s v="L"/>
    <x v="2"/>
    <n v="29.784999999999997"/>
    <x v="91"/>
    <x v="2"/>
    <x v="1"/>
    <x v="0"/>
  </r>
  <r>
    <s v="YWM-07310-594"/>
    <x v="267"/>
    <x v="798"/>
    <s v="E-M-0.5"/>
    <n v="5"/>
    <x v="798"/>
    <s v="mpalleskeo4@nyu.edu"/>
    <x v="0"/>
    <s v="Exc"/>
    <s v="M"/>
    <x v="1"/>
    <n v="8.25"/>
    <x v="1"/>
    <x v="1"/>
    <x v="0"/>
    <x v="0"/>
  </r>
  <r>
    <s v="FHD-94983-982"/>
    <x v="625"/>
    <x v="799"/>
    <s v="R-M-0.5"/>
    <n v="3"/>
    <x v="799"/>
    <n v="0"/>
    <x v="0"/>
    <s v="Rob"/>
    <s v="M"/>
    <x v="1"/>
    <n v="5.97"/>
    <x v="8"/>
    <x v="0"/>
    <x v="0"/>
    <x v="0"/>
  </r>
  <r>
    <s v="WQK-10857-119"/>
    <x v="616"/>
    <x v="800"/>
    <s v="E-D-0.5"/>
    <n v="1"/>
    <x v="800"/>
    <s v="fantcliffeo6@amazon.co.jp"/>
    <x v="1"/>
    <s v="Exc"/>
    <s v="D"/>
    <x v="1"/>
    <n v="7.29"/>
    <x v="35"/>
    <x v="1"/>
    <x v="2"/>
    <x v="0"/>
  </r>
  <r>
    <s v="DXA-50313-073"/>
    <x v="626"/>
    <x v="801"/>
    <s v="E-L-1"/>
    <n v="2"/>
    <x v="801"/>
    <s v="pmatignono7@harvard.edu"/>
    <x v="2"/>
    <s v="Exc"/>
    <s v="L"/>
    <x v="0"/>
    <n v="14.85"/>
    <x v="195"/>
    <x v="1"/>
    <x v="1"/>
    <x v="0"/>
  </r>
  <r>
    <s v="ONW-00560-570"/>
    <x v="52"/>
    <x v="802"/>
    <s v="A-M-1"/>
    <n v="2"/>
    <x v="802"/>
    <s v="cweondo8@theglobeandmail.com"/>
    <x v="0"/>
    <s v="Ara"/>
    <s v="M"/>
    <x v="0"/>
    <n v="11.25"/>
    <x v="122"/>
    <x v="2"/>
    <x v="0"/>
    <x v="1"/>
  </r>
  <r>
    <s v="BRJ-19414-277"/>
    <x v="622"/>
    <x v="795"/>
    <s v="R-M-0.2"/>
    <n v="4"/>
    <x v="795"/>
    <s v="mmacconnechieo9@reuters.com"/>
    <x v="0"/>
    <s v="Rob"/>
    <s v="M"/>
    <x v="3"/>
    <n v="2.9849999999999999"/>
    <x v="22"/>
    <x v="0"/>
    <x v="0"/>
    <x v="0"/>
  </r>
  <r>
    <s v="MIQ-16322-908"/>
    <x v="627"/>
    <x v="803"/>
    <s v="A-L-1"/>
    <n v="2"/>
    <x v="803"/>
    <s v="jskentelberyoa@paypal.com"/>
    <x v="0"/>
    <s v="Ara"/>
    <s v="L"/>
    <x v="0"/>
    <n v="12.95"/>
    <x v="109"/>
    <x v="2"/>
    <x v="1"/>
    <x v="1"/>
  </r>
  <r>
    <s v="MVO-39328-830"/>
    <x v="628"/>
    <x v="804"/>
    <s v="L-M-0.5"/>
    <n v="5"/>
    <x v="804"/>
    <s v="ocomberob@goo.gl"/>
    <x v="1"/>
    <s v="Lib"/>
    <s v="M"/>
    <x v="1"/>
    <n v="8.73"/>
    <x v="34"/>
    <x v="3"/>
    <x v="0"/>
    <x v="1"/>
  </r>
  <r>
    <s v="MVO-39328-830"/>
    <x v="628"/>
    <x v="804"/>
    <s v="A-L-0.5"/>
    <n v="6"/>
    <x v="804"/>
    <s v="ocomberob@goo.gl"/>
    <x v="1"/>
    <s v="Ara"/>
    <s v="L"/>
    <x v="1"/>
    <n v="7.77"/>
    <x v="162"/>
    <x v="2"/>
    <x v="1"/>
    <x v="1"/>
  </r>
  <r>
    <s v="NTJ-88319-746"/>
    <x v="629"/>
    <x v="805"/>
    <s v="L-L-0.5"/>
    <n v="3"/>
    <x v="805"/>
    <s v="ztramelod@netlog.com"/>
    <x v="0"/>
    <s v="Lib"/>
    <s v="L"/>
    <x v="1"/>
    <n v="9.51"/>
    <x v="32"/>
    <x v="3"/>
    <x v="1"/>
    <x v="1"/>
  </r>
  <r>
    <s v="LCY-24377-948"/>
    <x v="630"/>
    <x v="806"/>
    <s v="R-L-2.5"/>
    <n v="1"/>
    <x v="806"/>
    <n v="0"/>
    <x v="0"/>
    <s v="Rob"/>
    <s v="L"/>
    <x v="2"/>
    <n v="27.484999999999996"/>
    <x v="142"/>
    <x v="0"/>
    <x v="1"/>
    <x v="0"/>
  </r>
  <r>
    <s v="FWD-85967-769"/>
    <x v="631"/>
    <x v="807"/>
    <s v="E-D-0.2"/>
    <n v="3"/>
    <x v="807"/>
    <n v="0"/>
    <x v="0"/>
    <s v="Exc"/>
    <s v="D"/>
    <x v="3"/>
    <n v="3.645"/>
    <x v="47"/>
    <x v="1"/>
    <x v="2"/>
    <x v="1"/>
  </r>
  <r>
    <s v="KTO-53793-109"/>
    <x v="229"/>
    <x v="808"/>
    <s v="R-L-0.2"/>
    <n v="2"/>
    <x v="808"/>
    <s v="chatfullog@ebay.com"/>
    <x v="0"/>
    <s v="Rob"/>
    <s v="L"/>
    <x v="3"/>
    <n v="3.5849999999999995"/>
    <x v="53"/>
    <x v="0"/>
    <x v="1"/>
    <x v="1"/>
  </r>
  <r>
    <s v="OCK-89033-348"/>
    <x v="632"/>
    <x v="809"/>
    <s v="A-L-0.2"/>
    <n v="6"/>
    <x v="809"/>
    <n v="0"/>
    <x v="0"/>
    <s v="Ara"/>
    <s v="L"/>
    <x v="3"/>
    <n v="3.8849999999999998"/>
    <x v="102"/>
    <x v="2"/>
    <x v="1"/>
    <x v="0"/>
  </r>
  <r>
    <s v="GPZ-36017-366"/>
    <x v="633"/>
    <x v="810"/>
    <s v="A-D-2.5"/>
    <n v="5"/>
    <x v="810"/>
    <s v="kmarrisonoq@dropbox.com"/>
    <x v="0"/>
    <s v="Ara"/>
    <s v="D"/>
    <x v="2"/>
    <n v="22.884999999999998"/>
    <x v="15"/>
    <x v="2"/>
    <x v="2"/>
    <x v="0"/>
  </r>
  <r>
    <s v="BZP-33213-637"/>
    <x v="95"/>
    <x v="811"/>
    <s v="A-M-2.5"/>
    <n v="3"/>
    <x v="811"/>
    <s v="lagnolooj@pinterest.com"/>
    <x v="0"/>
    <s v="Ara"/>
    <s v="M"/>
    <x v="2"/>
    <n v="25.874999999999996"/>
    <x v="57"/>
    <x v="2"/>
    <x v="0"/>
    <x v="0"/>
  </r>
  <r>
    <s v="WFH-21507-708"/>
    <x v="521"/>
    <x v="812"/>
    <s v="R-D-0.5"/>
    <n v="1"/>
    <x v="812"/>
    <s v="dkiddyok@fda.gov"/>
    <x v="0"/>
    <s v="Rob"/>
    <s v="D"/>
    <x v="1"/>
    <n v="5.3699999999999992"/>
    <x v="147"/>
    <x v="0"/>
    <x v="2"/>
    <x v="0"/>
  </r>
  <r>
    <s v="HST-96923-073"/>
    <x v="76"/>
    <x v="813"/>
    <s v="R-D-2.5"/>
    <n v="6"/>
    <x v="813"/>
    <s v="hpetroulisol@state.tx.us"/>
    <x v="1"/>
    <s v="Rob"/>
    <s v="D"/>
    <x v="2"/>
    <n v="20.584999999999997"/>
    <x v="99"/>
    <x v="0"/>
    <x v="2"/>
    <x v="1"/>
  </r>
  <r>
    <s v="ENN-79947-323"/>
    <x v="634"/>
    <x v="814"/>
    <s v="L-M-0.5"/>
    <n v="2"/>
    <x v="814"/>
    <s v="mschollom@taobao.com"/>
    <x v="0"/>
    <s v="Lib"/>
    <s v="M"/>
    <x v="1"/>
    <n v="8.73"/>
    <x v="92"/>
    <x v="3"/>
    <x v="0"/>
    <x v="1"/>
  </r>
  <r>
    <s v="BHA-47429-889"/>
    <x v="635"/>
    <x v="815"/>
    <s v="E-L-0.2"/>
    <n v="3"/>
    <x v="815"/>
    <s v="kfersonon@g.co"/>
    <x v="0"/>
    <s v="Exc"/>
    <s v="L"/>
    <x v="3"/>
    <n v="4.4550000000000001"/>
    <x v="77"/>
    <x v="1"/>
    <x v="1"/>
    <x v="1"/>
  </r>
  <r>
    <s v="SZY-63017-318"/>
    <x v="636"/>
    <x v="816"/>
    <s v="A-L-0.2"/>
    <n v="2"/>
    <x v="816"/>
    <s v="bkellowayoo@omniture.com"/>
    <x v="0"/>
    <s v="Ara"/>
    <s v="L"/>
    <x v="3"/>
    <n v="3.8849999999999998"/>
    <x v="41"/>
    <x v="2"/>
    <x v="1"/>
    <x v="0"/>
  </r>
  <r>
    <s v="LCU-93317-340"/>
    <x v="637"/>
    <x v="817"/>
    <s v="R-D-0.2"/>
    <n v="1"/>
    <x v="817"/>
    <s v="soliffeop@yellowbook.com"/>
    <x v="0"/>
    <s v="Rob"/>
    <s v="D"/>
    <x v="3"/>
    <n v="2.6849999999999996"/>
    <x v="97"/>
    <x v="0"/>
    <x v="2"/>
    <x v="0"/>
  </r>
  <r>
    <s v="UOM-71431-481"/>
    <x v="182"/>
    <x v="810"/>
    <s v="R-D-2.5"/>
    <n v="1"/>
    <x v="810"/>
    <s v="kmarrisonoq@dropbox.com"/>
    <x v="0"/>
    <s v="Rob"/>
    <s v="D"/>
    <x v="2"/>
    <n v="20.584999999999997"/>
    <x v="123"/>
    <x v="0"/>
    <x v="2"/>
    <x v="0"/>
  </r>
  <r>
    <s v="PJH-42618-877"/>
    <x v="479"/>
    <x v="818"/>
    <s v="A-D-2.5"/>
    <n v="5"/>
    <x v="818"/>
    <s v="cdolohuntyor@dailymail.co.uk"/>
    <x v="0"/>
    <s v="Ara"/>
    <s v="D"/>
    <x v="2"/>
    <n v="22.884999999999998"/>
    <x v="15"/>
    <x v="2"/>
    <x v="2"/>
    <x v="0"/>
  </r>
  <r>
    <s v="XED-90333-402"/>
    <x v="638"/>
    <x v="819"/>
    <s v="E-M-0.2"/>
    <n v="5"/>
    <x v="819"/>
    <s v="pvasilenkoos@addtoany.com"/>
    <x v="2"/>
    <s v="Exc"/>
    <s v="M"/>
    <x v="3"/>
    <n v="4.125"/>
    <x v="132"/>
    <x v="1"/>
    <x v="0"/>
    <x v="1"/>
  </r>
  <r>
    <s v="IKK-62234-199"/>
    <x v="639"/>
    <x v="820"/>
    <s v="L-L-0.5"/>
    <n v="6"/>
    <x v="820"/>
    <s v="rschankelborgot@ameblo.jp"/>
    <x v="0"/>
    <s v="Lib"/>
    <s v="L"/>
    <x v="1"/>
    <n v="9.51"/>
    <x v="30"/>
    <x v="3"/>
    <x v="1"/>
    <x v="0"/>
  </r>
  <r>
    <s v="KAW-95195-329"/>
    <x v="640"/>
    <x v="821"/>
    <s v="R-D-2.5"/>
    <n v="4"/>
    <x v="821"/>
    <n v="0"/>
    <x v="1"/>
    <s v="Rob"/>
    <s v="D"/>
    <x v="2"/>
    <n v="20.584999999999997"/>
    <x v="18"/>
    <x v="0"/>
    <x v="2"/>
    <x v="0"/>
  </r>
  <r>
    <s v="QDO-57268-842"/>
    <x v="612"/>
    <x v="822"/>
    <s v="E-M-2.5"/>
    <n v="5"/>
    <x v="822"/>
    <n v="0"/>
    <x v="0"/>
    <s v="Exc"/>
    <s v="M"/>
    <x v="2"/>
    <n v="31.624999999999996"/>
    <x v="196"/>
    <x v="1"/>
    <x v="0"/>
    <x v="1"/>
  </r>
  <r>
    <s v="IIZ-24416-212"/>
    <x v="641"/>
    <x v="823"/>
    <s v="R-D-0.5"/>
    <n v="6"/>
    <x v="823"/>
    <s v="bcargenow@geocities.jp"/>
    <x v="0"/>
    <s v="Rob"/>
    <s v="D"/>
    <x v="1"/>
    <n v="5.3699999999999992"/>
    <x v="111"/>
    <x v="0"/>
    <x v="2"/>
    <x v="0"/>
  </r>
  <r>
    <s v="AWP-11469-510"/>
    <x v="36"/>
    <x v="824"/>
    <s v="E-D-1"/>
    <n v="2"/>
    <x v="824"/>
    <s v="rsticklerox@printfriendly.com"/>
    <x v="2"/>
    <s v="Exc"/>
    <s v="D"/>
    <x v="0"/>
    <n v="12.15"/>
    <x v="76"/>
    <x v="1"/>
    <x v="2"/>
    <x v="1"/>
  </r>
  <r>
    <s v="KXA-27983-918"/>
    <x v="642"/>
    <x v="825"/>
    <s v="R-L-0.5"/>
    <n v="5"/>
    <x v="825"/>
    <n v="0"/>
    <x v="0"/>
    <s v="Rob"/>
    <s v="L"/>
    <x v="1"/>
    <n v="7.169999999999999"/>
    <x v="66"/>
    <x v="0"/>
    <x v="1"/>
    <x v="1"/>
  </r>
  <r>
    <s v="VKQ-39009-292"/>
    <x v="219"/>
    <x v="822"/>
    <s v="L-M-1"/>
    <n v="5"/>
    <x v="822"/>
    <n v="0"/>
    <x v="0"/>
    <s v="Lib"/>
    <s v="M"/>
    <x v="0"/>
    <n v="14.55"/>
    <x v="45"/>
    <x v="3"/>
    <x v="0"/>
    <x v="1"/>
  </r>
  <r>
    <s v="PDB-98743-282"/>
    <x v="643"/>
    <x v="826"/>
    <s v="L-L-1"/>
    <n v="3"/>
    <x v="826"/>
    <n v="0"/>
    <x v="1"/>
    <s v="Lib"/>
    <s v="L"/>
    <x v="0"/>
    <n v="15.85"/>
    <x v="46"/>
    <x v="3"/>
    <x v="1"/>
    <x v="1"/>
  </r>
  <r>
    <s v="SXW-34014-556"/>
    <x v="644"/>
    <x v="827"/>
    <s v="R-L-0.2"/>
    <n v="1"/>
    <x v="827"/>
    <s v="djevonp1@ibm.com"/>
    <x v="0"/>
    <s v="Rob"/>
    <s v="L"/>
    <x v="3"/>
    <n v="3.5849999999999995"/>
    <x v="60"/>
    <x v="0"/>
    <x v="1"/>
    <x v="0"/>
  </r>
  <r>
    <s v="QOJ-38788-727"/>
    <x v="136"/>
    <x v="828"/>
    <s v="E-M-2.5"/>
    <n v="5"/>
    <x v="828"/>
    <s v="hrannerp2@omniture.com"/>
    <x v="0"/>
    <s v="Exc"/>
    <s v="M"/>
    <x v="2"/>
    <n v="31.624999999999996"/>
    <x v="196"/>
    <x v="1"/>
    <x v="0"/>
    <x v="1"/>
  </r>
  <r>
    <s v="TGF-38649-658"/>
    <x v="645"/>
    <x v="829"/>
    <s v="L-M-0.5"/>
    <n v="2"/>
    <x v="829"/>
    <s v="bimriep3@addtoany.com"/>
    <x v="0"/>
    <s v="Lib"/>
    <s v="M"/>
    <x v="1"/>
    <n v="8.73"/>
    <x v="92"/>
    <x v="3"/>
    <x v="0"/>
    <x v="1"/>
  </r>
  <r>
    <s v="EAI-25194-209"/>
    <x v="646"/>
    <x v="830"/>
    <s v="A-L-2.5"/>
    <n v="5"/>
    <x v="830"/>
    <s v="dsopperp4@eventbrite.com"/>
    <x v="0"/>
    <s v="Ara"/>
    <s v="L"/>
    <x v="2"/>
    <n v="29.784999999999997"/>
    <x v="74"/>
    <x v="2"/>
    <x v="1"/>
    <x v="1"/>
  </r>
  <r>
    <s v="IJK-34441-720"/>
    <x v="647"/>
    <x v="831"/>
    <s v="A-M-0.5"/>
    <n v="6"/>
    <x v="831"/>
    <n v="0"/>
    <x v="0"/>
    <s v="Ara"/>
    <s v="M"/>
    <x v="1"/>
    <n v="6.75"/>
    <x v="61"/>
    <x v="2"/>
    <x v="0"/>
    <x v="0"/>
  </r>
  <r>
    <s v="ZMC-00336-619"/>
    <x v="591"/>
    <x v="832"/>
    <s v="A-M-0.5"/>
    <n v="4"/>
    <x v="832"/>
    <s v="lledgleyp6@de.vu"/>
    <x v="0"/>
    <s v="Ara"/>
    <s v="M"/>
    <x v="1"/>
    <n v="6.75"/>
    <x v="25"/>
    <x v="2"/>
    <x v="0"/>
    <x v="0"/>
  </r>
  <r>
    <s v="UPX-54529-618"/>
    <x v="648"/>
    <x v="833"/>
    <s v="L-D-1"/>
    <n v="3"/>
    <x v="833"/>
    <s v="tmenaryp7@phoca.cz"/>
    <x v="0"/>
    <s v="Lib"/>
    <s v="D"/>
    <x v="0"/>
    <n v="12.95"/>
    <x v="5"/>
    <x v="3"/>
    <x v="2"/>
    <x v="1"/>
  </r>
  <r>
    <s v="DLX-01059-899"/>
    <x v="191"/>
    <x v="834"/>
    <s v="R-L-1"/>
    <n v="5"/>
    <x v="834"/>
    <s v="gciccottip8@so-net.ne.jp"/>
    <x v="0"/>
    <s v="Rob"/>
    <s v="L"/>
    <x v="0"/>
    <n v="11.95"/>
    <x v="143"/>
    <x v="0"/>
    <x v="1"/>
    <x v="1"/>
  </r>
  <r>
    <s v="MEK-85120-243"/>
    <x v="649"/>
    <x v="835"/>
    <s v="R-L-0.2"/>
    <n v="3"/>
    <x v="835"/>
    <n v="0"/>
    <x v="0"/>
    <s v="Rob"/>
    <s v="L"/>
    <x v="3"/>
    <n v="3.5849999999999995"/>
    <x v="127"/>
    <x v="0"/>
    <x v="1"/>
    <x v="1"/>
  </r>
  <r>
    <s v="NFI-37188-246"/>
    <x v="553"/>
    <x v="836"/>
    <s v="A-D-2.5"/>
    <n v="4"/>
    <x v="836"/>
    <s v="wjallinpa@pcworld.com"/>
    <x v="0"/>
    <s v="Ara"/>
    <s v="D"/>
    <x v="2"/>
    <n v="22.884999999999998"/>
    <x v="21"/>
    <x v="2"/>
    <x v="2"/>
    <x v="1"/>
  </r>
  <r>
    <s v="BXH-62195-013"/>
    <x v="584"/>
    <x v="837"/>
    <s v="A-M-1"/>
    <n v="4"/>
    <x v="837"/>
    <s v="mbogeypb@thetimes.co.uk"/>
    <x v="0"/>
    <s v="Ara"/>
    <s v="M"/>
    <x v="0"/>
    <n v="11.25"/>
    <x v="157"/>
    <x v="2"/>
    <x v="0"/>
    <x v="0"/>
  </r>
  <r>
    <s v="YLK-78851-470"/>
    <x v="650"/>
    <x v="838"/>
    <s v="R-M-2.5"/>
    <n v="6"/>
    <x v="838"/>
    <n v="0"/>
    <x v="0"/>
    <s v="Rob"/>
    <s v="M"/>
    <x v="2"/>
    <n v="22.884999999999998"/>
    <x v="170"/>
    <x v="0"/>
    <x v="0"/>
    <x v="0"/>
  </r>
  <r>
    <s v="DXY-76225-633"/>
    <x v="121"/>
    <x v="839"/>
    <s v="A-M-0.5"/>
    <n v="1"/>
    <x v="839"/>
    <s v="mcobbledickpd@ucsd.edu"/>
    <x v="0"/>
    <s v="Ara"/>
    <s v="M"/>
    <x v="1"/>
    <n v="6.75"/>
    <x v="52"/>
    <x v="2"/>
    <x v="0"/>
    <x v="1"/>
  </r>
  <r>
    <s v="UHP-24614-199"/>
    <x v="472"/>
    <x v="840"/>
    <s v="A-M-1"/>
    <n v="4"/>
    <x v="840"/>
    <s v="alewrype@whitehouse.gov"/>
    <x v="0"/>
    <s v="Ara"/>
    <s v="M"/>
    <x v="0"/>
    <n v="11.25"/>
    <x v="157"/>
    <x v="2"/>
    <x v="0"/>
    <x v="1"/>
  </r>
  <r>
    <s v="HBY-35655-049"/>
    <x v="594"/>
    <x v="841"/>
    <s v="E-D-2.5"/>
    <n v="3"/>
    <x v="841"/>
    <s v="ihesselpf@ox.ac.uk"/>
    <x v="0"/>
    <s v="Exc"/>
    <s v="D"/>
    <x v="2"/>
    <n v="27.945"/>
    <x v="171"/>
    <x v="1"/>
    <x v="2"/>
    <x v="0"/>
  </r>
  <r>
    <s v="DCE-22886-861"/>
    <x v="89"/>
    <x v="842"/>
    <s v="E-D-0.2"/>
    <n v="1"/>
    <x v="842"/>
    <n v="0"/>
    <x v="1"/>
    <s v="Exc"/>
    <s v="D"/>
    <x v="3"/>
    <n v="3.645"/>
    <x v="186"/>
    <x v="1"/>
    <x v="2"/>
    <x v="0"/>
  </r>
  <r>
    <s v="QTG-93823-843"/>
    <x v="651"/>
    <x v="843"/>
    <s v="A-M-0.5"/>
    <n v="1"/>
    <x v="843"/>
    <s v="csorrellph@amazon.com"/>
    <x v="2"/>
    <s v="Ara"/>
    <s v="M"/>
    <x v="1"/>
    <n v="6.75"/>
    <x v="52"/>
    <x v="2"/>
    <x v="0"/>
    <x v="1"/>
  </r>
  <r>
    <s v="QTG-93823-843"/>
    <x v="651"/>
    <x v="843"/>
    <s v="E-D-0.5"/>
    <n v="3"/>
    <x v="843"/>
    <s v="csorrellph@amazon.com"/>
    <x v="2"/>
    <s v="Exc"/>
    <s v="D"/>
    <x v="1"/>
    <n v="7.29"/>
    <x v="6"/>
    <x v="1"/>
    <x v="2"/>
    <x v="1"/>
  </r>
  <r>
    <s v="WFT-16178-396"/>
    <x v="249"/>
    <x v="844"/>
    <s v="R-D-0.2"/>
    <n v="5"/>
    <x v="844"/>
    <s v="qheavysidepj@unc.edu"/>
    <x v="0"/>
    <s v="Rob"/>
    <s v="D"/>
    <x v="3"/>
    <n v="2.6849999999999996"/>
    <x v="148"/>
    <x v="0"/>
    <x v="2"/>
    <x v="0"/>
  </r>
  <r>
    <s v="ERC-54560-934"/>
    <x v="652"/>
    <x v="845"/>
    <s v="R-D-2.5"/>
    <n v="6"/>
    <x v="845"/>
    <s v="hreuvenpk@whitehouse.gov"/>
    <x v="0"/>
    <s v="Rob"/>
    <s v="D"/>
    <x v="2"/>
    <n v="20.584999999999997"/>
    <x v="99"/>
    <x v="0"/>
    <x v="2"/>
    <x v="1"/>
  </r>
  <r>
    <s v="RUK-78200-416"/>
    <x v="653"/>
    <x v="846"/>
    <s v="L-D-0.2"/>
    <n v="2"/>
    <x v="846"/>
    <s v="mattwoolpl@nba.com"/>
    <x v="0"/>
    <s v="Lib"/>
    <s v="D"/>
    <x v="3"/>
    <n v="3.8849999999999998"/>
    <x v="41"/>
    <x v="3"/>
    <x v="2"/>
    <x v="1"/>
  </r>
  <r>
    <s v="KHK-13105-388"/>
    <x v="177"/>
    <x v="847"/>
    <s v="A-M-1"/>
    <n v="6"/>
    <x v="847"/>
    <n v="0"/>
    <x v="0"/>
    <s v="Ara"/>
    <s v="M"/>
    <x v="0"/>
    <n v="11.25"/>
    <x v="173"/>
    <x v="2"/>
    <x v="0"/>
    <x v="0"/>
  </r>
  <r>
    <s v="NJR-03699-189"/>
    <x v="22"/>
    <x v="848"/>
    <s v="E-D-2.5"/>
    <n v="1"/>
    <x v="848"/>
    <s v="gwynespn@dagondesign.com"/>
    <x v="0"/>
    <s v="Exc"/>
    <s v="D"/>
    <x v="2"/>
    <n v="27.945"/>
    <x v="140"/>
    <x v="1"/>
    <x v="2"/>
    <x v="1"/>
  </r>
  <r>
    <s v="PJV-20427-019"/>
    <x v="508"/>
    <x v="849"/>
    <s v="A-L-2.5"/>
    <n v="3"/>
    <x v="849"/>
    <s v="cmaccourtpo@amazon.com"/>
    <x v="0"/>
    <s v="Ara"/>
    <s v="L"/>
    <x v="2"/>
    <n v="29.784999999999997"/>
    <x v="49"/>
    <x v="2"/>
    <x v="1"/>
    <x v="1"/>
  </r>
  <r>
    <s v="UGK-07613-982"/>
    <x v="654"/>
    <x v="822"/>
    <s v="A-M-0.5"/>
    <n v="3"/>
    <x v="822"/>
    <n v="0"/>
    <x v="0"/>
    <s v="Ara"/>
    <s v="M"/>
    <x v="1"/>
    <n v="6.75"/>
    <x v="16"/>
    <x v="2"/>
    <x v="0"/>
    <x v="1"/>
  </r>
  <r>
    <s v="OLA-68289-577"/>
    <x v="524"/>
    <x v="850"/>
    <s v="A-M-0.5"/>
    <n v="5"/>
    <x v="850"/>
    <s v="ewilsonepq@eepurl.com"/>
    <x v="0"/>
    <s v="Ara"/>
    <s v="M"/>
    <x v="1"/>
    <n v="6.75"/>
    <x v="65"/>
    <x v="2"/>
    <x v="0"/>
    <x v="0"/>
  </r>
  <r>
    <s v="TNR-84447-052"/>
    <x v="655"/>
    <x v="851"/>
    <s v="E-D-2.5"/>
    <n v="4"/>
    <x v="851"/>
    <s v="dduffiepr@time.com"/>
    <x v="0"/>
    <s v="Exc"/>
    <s v="D"/>
    <x v="2"/>
    <n v="27.945"/>
    <x v="150"/>
    <x v="1"/>
    <x v="2"/>
    <x v="1"/>
  </r>
  <r>
    <s v="FBZ-64200-586"/>
    <x v="523"/>
    <x v="852"/>
    <s v="E-M-2.5"/>
    <n v="2"/>
    <x v="852"/>
    <s v="mmatiasekps@ucoz.ru"/>
    <x v="0"/>
    <s v="Exc"/>
    <s v="M"/>
    <x v="2"/>
    <n v="31.624999999999996"/>
    <x v="40"/>
    <x v="1"/>
    <x v="0"/>
    <x v="0"/>
  </r>
  <r>
    <s v="OBN-66334-505"/>
    <x v="656"/>
    <x v="853"/>
    <s v="E-L-0.2"/>
    <n v="2"/>
    <x v="853"/>
    <s v="jcamillopt@shinystat.com"/>
    <x v="0"/>
    <s v="Exc"/>
    <s v="L"/>
    <x v="3"/>
    <n v="4.4550000000000001"/>
    <x v="161"/>
    <x v="1"/>
    <x v="1"/>
    <x v="0"/>
  </r>
  <r>
    <s v="NXM-89323-646"/>
    <x v="657"/>
    <x v="854"/>
    <s v="E-D-1"/>
    <n v="1"/>
    <x v="854"/>
    <s v="kphilbrickpu@cdc.gov"/>
    <x v="0"/>
    <s v="Exc"/>
    <s v="D"/>
    <x v="0"/>
    <n v="12.15"/>
    <x v="87"/>
    <x v="1"/>
    <x v="2"/>
    <x v="0"/>
  </r>
  <r>
    <s v="NHI-23264-055"/>
    <x v="658"/>
    <x v="855"/>
    <s v="A-D-0.5"/>
    <n v="4"/>
    <x v="855"/>
    <n v="0"/>
    <x v="0"/>
    <s v="Ara"/>
    <s v="D"/>
    <x v="1"/>
    <n v="5.97"/>
    <x v="86"/>
    <x v="2"/>
    <x v="2"/>
    <x v="0"/>
  </r>
  <r>
    <s v="EQH-53569-934"/>
    <x v="659"/>
    <x v="856"/>
    <s v="E-M-1"/>
    <n v="4"/>
    <x v="856"/>
    <s v="bsillispw@istockphoto.com"/>
    <x v="0"/>
    <s v="Exc"/>
    <s v="M"/>
    <x v="0"/>
    <n v="13.75"/>
    <x v="193"/>
    <x v="1"/>
    <x v="0"/>
    <x v="1"/>
  </r>
  <r>
    <s v="XKK-06692-189"/>
    <x v="558"/>
    <x v="857"/>
    <s v="R-D-1"/>
    <n v="3"/>
    <x v="857"/>
    <n v="0"/>
    <x v="0"/>
    <s v="Rob"/>
    <s v="D"/>
    <x v="0"/>
    <n v="8.9499999999999993"/>
    <x v="166"/>
    <x v="0"/>
    <x v="2"/>
    <x v="0"/>
  </r>
  <r>
    <s v="BYP-16005-016"/>
    <x v="660"/>
    <x v="858"/>
    <s v="R-M-2.5"/>
    <n v="5"/>
    <x v="858"/>
    <s v="rcuttspy@techcrunch.com"/>
    <x v="0"/>
    <s v="Rob"/>
    <s v="M"/>
    <x v="2"/>
    <n v="22.884999999999998"/>
    <x v="15"/>
    <x v="0"/>
    <x v="0"/>
    <x v="1"/>
  </r>
  <r>
    <s v="LWS-13938-905"/>
    <x v="661"/>
    <x v="859"/>
    <s v="A-M-2.5"/>
    <n v="6"/>
    <x v="859"/>
    <s v="mdelvespz@nature.com"/>
    <x v="0"/>
    <s v="Ara"/>
    <s v="M"/>
    <x v="2"/>
    <n v="25.874999999999996"/>
    <x v="71"/>
    <x v="2"/>
    <x v="0"/>
    <x v="0"/>
  </r>
  <r>
    <s v="OLH-95722-362"/>
    <x v="662"/>
    <x v="860"/>
    <s v="L-D-0.5"/>
    <n v="3"/>
    <x v="860"/>
    <s v="dgrittonq0@nydailynews.com"/>
    <x v="0"/>
    <s v="Lib"/>
    <s v="D"/>
    <x v="1"/>
    <n v="7.77"/>
    <x v="102"/>
    <x v="3"/>
    <x v="2"/>
    <x v="0"/>
  </r>
  <r>
    <s v="OLH-95722-362"/>
    <x v="662"/>
    <x v="860"/>
    <s v="R-M-2.5"/>
    <n v="4"/>
    <x v="860"/>
    <s v="dgrittonq0@nydailynews.com"/>
    <x v="0"/>
    <s v="Rob"/>
    <s v="M"/>
    <x v="2"/>
    <n v="22.884999999999998"/>
    <x v="21"/>
    <x v="0"/>
    <x v="0"/>
    <x v="0"/>
  </r>
  <r>
    <s v="KCW-50949-318"/>
    <x v="184"/>
    <x v="861"/>
    <s v="E-L-1"/>
    <n v="5"/>
    <x v="861"/>
    <s v="dgutq2@umich.edu"/>
    <x v="0"/>
    <s v="Exc"/>
    <s v="L"/>
    <x v="0"/>
    <n v="14.85"/>
    <x v="159"/>
    <x v="1"/>
    <x v="1"/>
    <x v="0"/>
  </r>
  <r>
    <s v="JGZ-16947-591"/>
    <x v="663"/>
    <x v="862"/>
    <s v="L-L-0.2"/>
    <n v="6"/>
    <x v="862"/>
    <s v="wpummeryq3@topsy.com"/>
    <x v="0"/>
    <s v="Lib"/>
    <s v="L"/>
    <x v="3"/>
    <n v="4.7549999999999999"/>
    <x v="32"/>
    <x v="3"/>
    <x v="1"/>
    <x v="1"/>
  </r>
  <r>
    <s v="LXS-63326-144"/>
    <x v="334"/>
    <x v="863"/>
    <s v="R-L-0.5"/>
    <n v="2"/>
    <x v="863"/>
    <s v="gsiudaq4@nytimes.com"/>
    <x v="0"/>
    <s v="Rob"/>
    <s v="L"/>
    <x v="1"/>
    <n v="7.169999999999999"/>
    <x v="79"/>
    <x v="0"/>
    <x v="1"/>
    <x v="0"/>
  </r>
  <r>
    <s v="CZG-86544-655"/>
    <x v="664"/>
    <x v="864"/>
    <s v="A-L-0.5"/>
    <n v="2"/>
    <x v="864"/>
    <s v="hcrowneq5@wufoo.com"/>
    <x v="1"/>
    <s v="Ara"/>
    <s v="L"/>
    <x v="1"/>
    <n v="7.77"/>
    <x v="42"/>
    <x v="2"/>
    <x v="1"/>
    <x v="0"/>
  </r>
  <r>
    <s v="WFV-88138-247"/>
    <x v="24"/>
    <x v="865"/>
    <s v="R-L-1"/>
    <n v="3"/>
    <x v="865"/>
    <s v="vpawseyq6@tiny.cc"/>
    <x v="0"/>
    <s v="Rob"/>
    <s v="L"/>
    <x v="0"/>
    <n v="11.95"/>
    <x v="66"/>
    <x v="0"/>
    <x v="1"/>
    <x v="1"/>
  </r>
  <r>
    <s v="RFG-28227-288"/>
    <x v="12"/>
    <x v="866"/>
    <s v="A-L-0.5"/>
    <n v="6"/>
    <x v="866"/>
    <s v="awaterhouseq7@istockphoto.com"/>
    <x v="0"/>
    <s v="Ara"/>
    <s v="L"/>
    <x v="1"/>
    <n v="7.77"/>
    <x v="162"/>
    <x v="2"/>
    <x v="1"/>
    <x v="1"/>
  </r>
  <r>
    <s v="QAK-77286-758"/>
    <x v="105"/>
    <x v="867"/>
    <s v="R-L-0.5"/>
    <n v="5"/>
    <x v="867"/>
    <s v="fhaughianq8@1688.com"/>
    <x v="0"/>
    <s v="Rob"/>
    <s v="L"/>
    <x v="1"/>
    <n v="7.169999999999999"/>
    <x v="66"/>
    <x v="0"/>
    <x v="1"/>
    <x v="1"/>
  </r>
  <r>
    <s v="CZD-56716-840"/>
    <x v="665"/>
    <x v="868"/>
    <s v="L-D-2.5"/>
    <n v="4"/>
    <x v="868"/>
    <n v="0"/>
    <x v="0"/>
    <s v="Lib"/>
    <s v="D"/>
    <x v="2"/>
    <n v="29.784999999999997"/>
    <x v="129"/>
    <x v="3"/>
    <x v="2"/>
    <x v="1"/>
  </r>
  <r>
    <s v="UBI-59229-277"/>
    <x v="44"/>
    <x v="869"/>
    <s v="L-D-0.5"/>
    <n v="3"/>
    <x v="869"/>
    <n v="0"/>
    <x v="0"/>
    <s v="Lib"/>
    <s v="D"/>
    <x v="1"/>
    <n v="7.77"/>
    <x v="102"/>
    <x v="3"/>
    <x v="2"/>
    <x v="1"/>
  </r>
  <r>
    <s v="WJJ-37489-898"/>
    <x v="171"/>
    <x v="870"/>
    <s v="A-M-1"/>
    <n v="1"/>
    <x v="870"/>
    <s v="rfaltinqb@topsy.com"/>
    <x v="1"/>
    <s v="Ara"/>
    <s v="M"/>
    <x v="0"/>
    <n v="11.25"/>
    <x v="23"/>
    <x v="2"/>
    <x v="0"/>
    <x v="1"/>
  </r>
  <r>
    <s v="ORX-57454-917"/>
    <x v="328"/>
    <x v="871"/>
    <s v="E-D-2.5"/>
    <n v="3"/>
    <x v="871"/>
    <s v="gcheekeqc@sitemeter.com"/>
    <x v="2"/>
    <s v="Exc"/>
    <s v="D"/>
    <x v="2"/>
    <n v="27.945"/>
    <x v="171"/>
    <x v="1"/>
    <x v="2"/>
    <x v="0"/>
  </r>
  <r>
    <s v="GRB-68838-629"/>
    <x v="648"/>
    <x v="872"/>
    <s v="R-L-2.5"/>
    <n v="4"/>
    <x v="872"/>
    <s v="grattqd@phpbb.com"/>
    <x v="1"/>
    <s v="Rob"/>
    <s v="L"/>
    <x v="2"/>
    <n v="27.484999999999996"/>
    <x v="108"/>
    <x v="0"/>
    <x v="1"/>
    <x v="1"/>
  </r>
  <r>
    <s v="SHT-04865-419"/>
    <x v="666"/>
    <x v="873"/>
    <s v="R-L-0.2"/>
    <n v="4"/>
    <x v="873"/>
    <n v="0"/>
    <x v="0"/>
    <s v="Rob"/>
    <s v="L"/>
    <x v="3"/>
    <n v="3.5849999999999995"/>
    <x v="79"/>
    <x v="0"/>
    <x v="1"/>
    <x v="0"/>
  </r>
  <r>
    <s v="UQI-28177-865"/>
    <x v="577"/>
    <x v="874"/>
    <s v="R-L-0.2"/>
    <n v="6"/>
    <x v="874"/>
    <s v="ieberleinqf@hc360.com"/>
    <x v="0"/>
    <s v="Rob"/>
    <s v="L"/>
    <x v="3"/>
    <n v="3.5849999999999995"/>
    <x v="137"/>
    <x v="0"/>
    <x v="1"/>
    <x v="1"/>
  </r>
  <r>
    <s v="OIB-13664-879"/>
    <x v="114"/>
    <x v="875"/>
    <s v="A-M-1"/>
    <n v="2"/>
    <x v="875"/>
    <s v="jdrengqg@uiuc.edu"/>
    <x v="1"/>
    <s v="Ara"/>
    <s v="M"/>
    <x v="0"/>
    <n v="11.25"/>
    <x v="122"/>
    <x v="2"/>
    <x v="0"/>
    <x v="0"/>
  </r>
  <r>
    <s v="PJS-30996-485"/>
    <x v="4"/>
    <x v="857"/>
    <s v="A-L-0.2"/>
    <n v="1"/>
    <x v="857"/>
    <n v="0"/>
    <x v="0"/>
    <s v="Ara"/>
    <s v="L"/>
    <x v="3"/>
    <n v="3.8849999999999998"/>
    <x v="84"/>
    <x v="2"/>
    <x v="1"/>
    <x v="0"/>
  </r>
  <r>
    <s v="HEL-86709-449"/>
    <x v="667"/>
    <x v="857"/>
    <s v="E-D-2.5"/>
    <n v="1"/>
    <x v="857"/>
    <n v="0"/>
    <x v="0"/>
    <s v="Exc"/>
    <s v="D"/>
    <x v="2"/>
    <n v="27.945"/>
    <x v="140"/>
    <x v="1"/>
    <x v="2"/>
    <x v="0"/>
  </r>
  <r>
    <s v="NCH-55389-562"/>
    <x v="110"/>
    <x v="857"/>
    <s v="E-L-2.5"/>
    <n v="5"/>
    <x v="857"/>
    <n v="0"/>
    <x v="0"/>
    <s v="Exc"/>
    <s v="L"/>
    <x v="2"/>
    <n v="34.154999999999994"/>
    <x v="11"/>
    <x v="1"/>
    <x v="1"/>
    <x v="0"/>
  </r>
  <r>
    <s v="NCH-55389-562"/>
    <x v="110"/>
    <x v="857"/>
    <s v="R-L-2.5"/>
    <n v="2"/>
    <x v="857"/>
    <n v="0"/>
    <x v="0"/>
    <s v="Rob"/>
    <s v="L"/>
    <x v="2"/>
    <n v="27.484999999999996"/>
    <x v="4"/>
    <x v="0"/>
    <x v="1"/>
    <x v="0"/>
  </r>
  <r>
    <s v="NCH-55389-562"/>
    <x v="110"/>
    <x v="857"/>
    <s v="E-L-1"/>
    <n v="1"/>
    <x v="857"/>
    <n v="0"/>
    <x v="0"/>
    <s v="Exc"/>
    <s v="L"/>
    <x v="0"/>
    <n v="14.85"/>
    <x v="151"/>
    <x v="1"/>
    <x v="1"/>
    <x v="0"/>
  </r>
  <r>
    <s v="NCH-55389-562"/>
    <x v="110"/>
    <x v="857"/>
    <s v="A-L-0.2"/>
    <n v="2"/>
    <x v="857"/>
    <n v="0"/>
    <x v="0"/>
    <s v="Ara"/>
    <s v="L"/>
    <x v="3"/>
    <n v="3.8849999999999998"/>
    <x v="41"/>
    <x v="2"/>
    <x v="1"/>
    <x v="0"/>
  </r>
  <r>
    <s v="GUG-45603-775"/>
    <x v="668"/>
    <x v="876"/>
    <s v="L-L-0.2"/>
    <n v="5"/>
    <x v="876"/>
    <s v="rstrathernqn@devhub.com"/>
    <x v="0"/>
    <s v="Lib"/>
    <s v="L"/>
    <x v="3"/>
    <n v="4.7549999999999999"/>
    <x v="29"/>
    <x v="3"/>
    <x v="1"/>
    <x v="0"/>
  </r>
  <r>
    <s v="KJB-98240-098"/>
    <x v="422"/>
    <x v="877"/>
    <s v="L-L-1"/>
    <n v="5"/>
    <x v="877"/>
    <s v="cmiguelqo@exblog.jp"/>
    <x v="0"/>
    <s v="Lib"/>
    <s v="L"/>
    <x v="0"/>
    <n v="15.85"/>
    <x v="180"/>
    <x v="3"/>
    <x v="1"/>
    <x v="0"/>
  </r>
  <r>
    <s v="JMS-48374-462"/>
    <x v="669"/>
    <x v="878"/>
    <s v="A-D-2.5"/>
    <n v="2"/>
    <x v="878"/>
    <n v="0"/>
    <x v="0"/>
    <s v="Ara"/>
    <s v="D"/>
    <x v="2"/>
    <n v="22.884999999999998"/>
    <x v="135"/>
    <x v="2"/>
    <x v="2"/>
    <x v="0"/>
  </r>
  <r>
    <s v="YIT-15877-117"/>
    <x v="670"/>
    <x v="879"/>
    <s v="R-D-1"/>
    <n v="1"/>
    <x v="879"/>
    <s v="mrocksqq@exblog.jp"/>
    <x v="1"/>
    <s v="Rob"/>
    <s v="D"/>
    <x v="0"/>
    <n v="8.9499999999999993"/>
    <x v="192"/>
    <x v="0"/>
    <x v="2"/>
    <x v="0"/>
  </r>
  <r>
    <s v="YVK-82679-655"/>
    <x v="341"/>
    <x v="880"/>
    <s v="R-M-0.5"/>
    <n v="4"/>
    <x v="880"/>
    <s v="yburrellsqr@vinaora.com"/>
    <x v="0"/>
    <s v="Rob"/>
    <s v="M"/>
    <x v="1"/>
    <n v="5.97"/>
    <x v="86"/>
    <x v="0"/>
    <x v="0"/>
    <x v="0"/>
  </r>
  <r>
    <s v="TYH-81940-054"/>
    <x v="671"/>
    <x v="881"/>
    <s v="E-L-0.2"/>
    <n v="5"/>
    <x v="881"/>
    <s v="cgoodrumqs@goodreads.com"/>
    <x v="0"/>
    <s v="Exc"/>
    <s v="L"/>
    <x v="3"/>
    <n v="4.4550000000000001"/>
    <x v="110"/>
    <x v="1"/>
    <x v="1"/>
    <x v="1"/>
  </r>
  <r>
    <s v="HTY-30660-254"/>
    <x v="672"/>
    <x v="882"/>
    <s v="R-M-1"/>
    <n v="3"/>
    <x v="882"/>
    <s v="jjefferysqt@blog.com"/>
    <x v="0"/>
    <s v="Rob"/>
    <s v="M"/>
    <x v="0"/>
    <n v="9.9499999999999993"/>
    <x v="44"/>
    <x v="0"/>
    <x v="0"/>
    <x v="0"/>
  </r>
  <r>
    <s v="GPW-43956-761"/>
    <x v="673"/>
    <x v="883"/>
    <s v="E-L-0.5"/>
    <n v="6"/>
    <x v="883"/>
    <s v="bwardellqu@adobe.com"/>
    <x v="0"/>
    <s v="Exc"/>
    <s v="L"/>
    <x v="1"/>
    <n v="8.91"/>
    <x v="119"/>
    <x v="1"/>
    <x v="1"/>
    <x v="0"/>
  </r>
  <r>
    <s v="DWY-56352-412"/>
    <x v="674"/>
    <x v="884"/>
    <s v="R-D-0.2"/>
    <n v="1"/>
    <x v="884"/>
    <s v="zwalisiakqv@ucsd.edu"/>
    <x v="1"/>
    <s v="Rob"/>
    <s v="D"/>
    <x v="3"/>
    <n v="2.6849999999999996"/>
    <x v="97"/>
    <x v="0"/>
    <x v="2"/>
    <x v="0"/>
  </r>
  <r>
    <s v="PUH-55647-976"/>
    <x v="675"/>
    <x v="885"/>
    <s v="R-M-0.2"/>
    <n v="2"/>
    <x v="885"/>
    <s v="wleopoldqw@blogspot.com"/>
    <x v="0"/>
    <s v="Rob"/>
    <s v="M"/>
    <x v="3"/>
    <n v="2.9849999999999999"/>
    <x v="9"/>
    <x v="0"/>
    <x v="0"/>
    <x v="1"/>
  </r>
  <r>
    <s v="DTB-71371-705"/>
    <x v="539"/>
    <x v="886"/>
    <s v="L-D-1"/>
    <n v="1"/>
    <x v="886"/>
    <s v="cshaldersqx@cisco.com"/>
    <x v="0"/>
    <s v="Lib"/>
    <s v="D"/>
    <x v="0"/>
    <n v="12.95"/>
    <x v="2"/>
    <x v="3"/>
    <x v="2"/>
    <x v="0"/>
  </r>
  <r>
    <s v="ZDC-64769-740"/>
    <x v="676"/>
    <x v="887"/>
    <s v="E-M-0.5"/>
    <n v="1"/>
    <x v="887"/>
    <n v="0"/>
    <x v="0"/>
    <s v="Exc"/>
    <s v="M"/>
    <x v="1"/>
    <n v="8.25"/>
    <x v="112"/>
    <x v="1"/>
    <x v="0"/>
    <x v="1"/>
  </r>
  <r>
    <s v="TED-81959-419"/>
    <x v="677"/>
    <x v="888"/>
    <s v="A-L-2.5"/>
    <n v="5"/>
    <x v="888"/>
    <s v="nfurberqz@jugem.jp"/>
    <x v="0"/>
    <s v="Ara"/>
    <s v="L"/>
    <x v="2"/>
    <n v="29.784999999999997"/>
    <x v="74"/>
    <x v="2"/>
    <x v="1"/>
    <x v="1"/>
  </r>
  <r>
    <s v="FDO-25756-141"/>
    <x v="629"/>
    <x v="889"/>
    <s v="A-L-2.5"/>
    <n v="3"/>
    <x v="889"/>
    <n v="0"/>
    <x v="1"/>
    <s v="Ara"/>
    <s v="L"/>
    <x v="2"/>
    <n v="29.784999999999997"/>
    <x v="49"/>
    <x v="2"/>
    <x v="1"/>
    <x v="0"/>
  </r>
  <r>
    <s v="HKN-31467-517"/>
    <x v="662"/>
    <x v="890"/>
    <s v="L-M-1"/>
    <n v="6"/>
    <x v="890"/>
    <s v="ckeaver1@ucoz.com"/>
    <x v="0"/>
    <s v="Lib"/>
    <s v="M"/>
    <x v="0"/>
    <n v="14.55"/>
    <x v="75"/>
    <x v="3"/>
    <x v="0"/>
    <x v="1"/>
  </r>
  <r>
    <s v="POF-29666-012"/>
    <x v="102"/>
    <x v="891"/>
    <s v="R-D-0.5"/>
    <n v="1"/>
    <x v="891"/>
    <s v="sroseboroughr2@virginia.edu"/>
    <x v="0"/>
    <s v="Rob"/>
    <s v="D"/>
    <x v="1"/>
    <n v="5.3699999999999992"/>
    <x v="147"/>
    <x v="0"/>
    <x v="2"/>
    <x v="0"/>
  </r>
  <r>
    <s v="IRX-59256-644"/>
    <x v="678"/>
    <x v="892"/>
    <s v="A-D-0.2"/>
    <n v="3"/>
    <x v="892"/>
    <s v="ckingwellr3@squarespace.com"/>
    <x v="1"/>
    <s v="Ara"/>
    <s v="D"/>
    <x v="3"/>
    <n v="2.9849999999999999"/>
    <x v="169"/>
    <x v="2"/>
    <x v="2"/>
    <x v="0"/>
  </r>
  <r>
    <s v="LTN-89139-350"/>
    <x v="679"/>
    <x v="893"/>
    <s v="R-L-2.5"/>
    <n v="5"/>
    <x v="893"/>
    <s v="kcantor4@gmpg.org"/>
    <x v="0"/>
    <s v="Rob"/>
    <s v="L"/>
    <x v="2"/>
    <n v="27.484999999999996"/>
    <x v="187"/>
    <x v="0"/>
    <x v="1"/>
    <x v="0"/>
  </r>
  <r>
    <s v="TXF-79780-017"/>
    <x v="112"/>
    <x v="894"/>
    <s v="R-L-1"/>
    <n v="5"/>
    <x v="894"/>
    <s v="mblakemorer5@nsw.gov.au"/>
    <x v="0"/>
    <s v="Rob"/>
    <s v="L"/>
    <x v="0"/>
    <n v="11.95"/>
    <x v="143"/>
    <x v="0"/>
    <x v="1"/>
    <x v="1"/>
  </r>
  <r>
    <s v="ALM-80762-974"/>
    <x v="55"/>
    <x v="890"/>
    <s v="A-L-0.5"/>
    <n v="3"/>
    <x v="890"/>
    <s v="ckeaver1@ucoz.com"/>
    <x v="0"/>
    <s v="Ara"/>
    <s v="L"/>
    <x v="1"/>
    <n v="7.77"/>
    <x v="102"/>
    <x v="2"/>
    <x v="1"/>
    <x v="1"/>
  </r>
  <r>
    <s v="NXF-15738-707"/>
    <x v="680"/>
    <x v="895"/>
    <s v="R-D-0.5"/>
    <n v="2"/>
    <x v="895"/>
    <n v="0"/>
    <x v="0"/>
    <s v="Rob"/>
    <s v="D"/>
    <x v="1"/>
    <n v="5.3699999999999992"/>
    <x v="175"/>
    <x v="0"/>
    <x v="2"/>
    <x v="1"/>
  </r>
  <r>
    <s v="MVV-19034-198"/>
    <x v="94"/>
    <x v="896"/>
    <s v="E-D-2.5"/>
    <n v="6"/>
    <x v="896"/>
    <n v="0"/>
    <x v="0"/>
    <s v="Exc"/>
    <s v="D"/>
    <x v="2"/>
    <n v="27.945"/>
    <x v="164"/>
    <x v="1"/>
    <x v="2"/>
    <x v="0"/>
  </r>
  <r>
    <s v="KUX-19632-830"/>
    <x v="160"/>
    <x v="897"/>
    <s v="E-D-0.2"/>
    <n v="6"/>
    <x v="897"/>
    <s v="cbernardotr9@wix.com"/>
    <x v="0"/>
    <s v="Exc"/>
    <s v="D"/>
    <x v="3"/>
    <n v="3.645"/>
    <x v="6"/>
    <x v="1"/>
    <x v="2"/>
    <x v="0"/>
  </r>
  <r>
    <s v="SNZ-44595-152"/>
    <x v="681"/>
    <x v="898"/>
    <s v="R-L-1"/>
    <n v="2"/>
    <x v="898"/>
    <s v="kkemeryra@t.co"/>
    <x v="0"/>
    <s v="Rob"/>
    <s v="L"/>
    <x v="0"/>
    <n v="11.95"/>
    <x v="178"/>
    <x v="0"/>
    <x v="1"/>
    <x v="0"/>
  </r>
  <r>
    <s v="GQA-37241-629"/>
    <x v="502"/>
    <x v="899"/>
    <s v="A-M-0.2"/>
    <n v="2"/>
    <x v="899"/>
    <s v="fparlotrb@forbes.com"/>
    <x v="0"/>
    <s v="Ara"/>
    <s v="M"/>
    <x v="3"/>
    <n v="3.375"/>
    <x v="52"/>
    <x v="2"/>
    <x v="0"/>
    <x v="0"/>
  </r>
  <r>
    <s v="WVV-79948-067"/>
    <x v="682"/>
    <x v="900"/>
    <s v="E-M-2.5"/>
    <n v="1"/>
    <x v="900"/>
    <s v="rcheakrc@tripadvisor.com"/>
    <x v="1"/>
    <s v="Exc"/>
    <s v="M"/>
    <x v="2"/>
    <n v="31.624999999999996"/>
    <x v="176"/>
    <x v="1"/>
    <x v="0"/>
    <x v="0"/>
  </r>
  <r>
    <s v="LHX-81117-166"/>
    <x v="683"/>
    <x v="901"/>
    <s v="R-L-1"/>
    <n v="4"/>
    <x v="901"/>
    <s v="kogeneayrd@utexas.edu"/>
    <x v="0"/>
    <s v="Rob"/>
    <s v="L"/>
    <x v="0"/>
    <n v="11.95"/>
    <x v="62"/>
    <x v="0"/>
    <x v="1"/>
    <x v="1"/>
  </r>
  <r>
    <s v="GCD-75444-320"/>
    <x v="594"/>
    <x v="902"/>
    <s v="L-M-2.5"/>
    <n v="1"/>
    <x v="902"/>
    <s v="cayrere@symantec.com"/>
    <x v="0"/>
    <s v="Lib"/>
    <s v="M"/>
    <x v="2"/>
    <n v="33.464999999999996"/>
    <x v="116"/>
    <x v="3"/>
    <x v="0"/>
    <x v="1"/>
  </r>
  <r>
    <s v="SGA-30059-217"/>
    <x v="389"/>
    <x v="903"/>
    <s v="A-D-0.5"/>
    <n v="5"/>
    <x v="903"/>
    <s v="lkynetonrf@macromedia.com"/>
    <x v="2"/>
    <s v="Ara"/>
    <s v="D"/>
    <x v="1"/>
    <n v="5.97"/>
    <x v="44"/>
    <x v="2"/>
    <x v="2"/>
    <x v="0"/>
  </r>
  <r>
    <s v="GNL-98714-885"/>
    <x v="583"/>
    <x v="904"/>
    <s v="R-M-1"/>
    <n v="3"/>
    <x v="904"/>
    <n v="0"/>
    <x v="2"/>
    <s v="Rob"/>
    <s v="M"/>
    <x v="0"/>
    <n v="9.9499999999999993"/>
    <x v="44"/>
    <x v="0"/>
    <x v="0"/>
    <x v="0"/>
  </r>
  <r>
    <s v="OQA-93249-841"/>
    <x v="647"/>
    <x v="905"/>
    <s v="A-M-2.5"/>
    <n v="6"/>
    <x v="905"/>
    <n v="0"/>
    <x v="0"/>
    <s v="Ara"/>
    <s v="M"/>
    <x v="2"/>
    <n v="25.874999999999996"/>
    <x v="71"/>
    <x v="2"/>
    <x v="0"/>
    <x v="0"/>
  </r>
  <r>
    <s v="DUV-12075-132"/>
    <x v="366"/>
    <x v="906"/>
    <s v="E-D-0.2"/>
    <n v="5"/>
    <x v="906"/>
    <n v="0"/>
    <x v="0"/>
    <s v="Exc"/>
    <s v="D"/>
    <x v="3"/>
    <n v="3.645"/>
    <x v="94"/>
    <x v="1"/>
    <x v="2"/>
    <x v="1"/>
  </r>
  <r>
    <s v="DUV-12075-132"/>
    <x v="366"/>
    <x v="906"/>
    <s v="L-D-0.5"/>
    <n v="2"/>
    <x v="906"/>
    <n v="0"/>
    <x v="0"/>
    <s v="Lib"/>
    <s v="D"/>
    <x v="1"/>
    <n v="7.77"/>
    <x v="42"/>
    <x v="3"/>
    <x v="2"/>
    <x v="1"/>
  </r>
  <r>
    <s v="KPO-24942-184"/>
    <x v="684"/>
    <x v="907"/>
    <s v="L-L-2.5"/>
    <n v="3"/>
    <x v="907"/>
    <n v="0"/>
    <x v="1"/>
    <s v="Lib"/>
    <s v="L"/>
    <x v="2"/>
    <n v="36.454999999999998"/>
    <x v="63"/>
    <x v="3"/>
    <x v="1"/>
    <x v="1"/>
  </r>
  <r>
    <s v="SRJ-79353-838"/>
    <x v="506"/>
    <x v="908"/>
    <s v="A-L-1"/>
    <n v="6"/>
    <x v="908"/>
    <n v="0"/>
    <x v="0"/>
    <s v="Ara"/>
    <s v="L"/>
    <x v="0"/>
    <n v="12.95"/>
    <x v="17"/>
    <x v="2"/>
    <x v="1"/>
    <x v="1"/>
  </r>
  <r>
    <s v="XBV-40336-071"/>
    <x v="685"/>
    <x v="909"/>
    <s v="A-D-0.2"/>
    <n v="3"/>
    <x v="909"/>
    <n v="0"/>
    <x v="1"/>
    <s v="Ara"/>
    <s v="D"/>
    <x v="3"/>
    <n v="2.9849999999999999"/>
    <x v="169"/>
    <x v="2"/>
    <x v="2"/>
    <x v="1"/>
  </r>
  <r>
    <s v="RLM-96511-467"/>
    <x v="191"/>
    <x v="910"/>
    <s v="R-L-2.5"/>
    <n v="1"/>
    <x v="910"/>
    <s v="jtewelsonrn@samsung.com"/>
    <x v="0"/>
    <s v="Rob"/>
    <s v="L"/>
    <x v="2"/>
    <n v="27.484999999999996"/>
    <x v="142"/>
    <x v="0"/>
    <x v="1"/>
    <x v="1"/>
  </r>
  <r>
    <s v="AEZ-13242-456"/>
    <x v="686"/>
    <x v="906"/>
    <s v="R-M-0.5"/>
    <n v="5"/>
    <x v="906"/>
    <n v="0"/>
    <x v="0"/>
    <s v="Rob"/>
    <s v="M"/>
    <x v="1"/>
    <n v="5.97"/>
    <x v="44"/>
    <x v="0"/>
    <x v="0"/>
    <x v="1"/>
  </r>
  <r>
    <s v="UME-75640-698"/>
    <x v="687"/>
    <x v="906"/>
    <s v="A-M-0.5"/>
    <n v="4"/>
    <x v="906"/>
    <n v="0"/>
    <x v="0"/>
    <s v="Ara"/>
    <s v="M"/>
    <x v="1"/>
    <n v="6.75"/>
    <x v="25"/>
    <x v="2"/>
    <x v="0"/>
    <x v="1"/>
  </r>
  <r>
    <s v="GJC-66474-557"/>
    <x v="629"/>
    <x v="911"/>
    <s v="A-D-1"/>
    <n v="1"/>
    <x v="911"/>
    <s v="njennyrq@bigcartel.com"/>
    <x v="0"/>
    <s v="Ara"/>
    <s v="D"/>
    <x v="0"/>
    <n v="9.9499999999999993"/>
    <x v="138"/>
    <x v="2"/>
    <x v="2"/>
    <x v="1"/>
  </r>
  <r>
    <s v="IRV-20769-219"/>
    <x v="688"/>
    <x v="912"/>
    <s v="E-M-0.2"/>
    <n v="3"/>
    <x v="912"/>
    <n v="0"/>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8B407-B777-42B7-98D2-CA848339B120}" name="TotalSales" cacheId="2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0">
  <location ref="A3:F48" firstHeaderRow="1" firstDataRow="2" firstDataCol="2"/>
  <pivotFields count="17">
    <pivotField compact="0" outline="0" subtotalTop="0" showAll="0" defaultSubtotal="0"/>
    <pivotField axis="axisRow" compact="0" numFmtId="166"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44" outline="0" subtotalTop="0" showAll="0" defaultSubtotal="0">
      <items count="4">
        <item x="3"/>
        <item x="1"/>
        <item x="0"/>
        <item x="2"/>
      </items>
    </pivotField>
    <pivotField compact="0" numFmtId="44" outline="0" subtotalTop="0" showAll="0" defaultSubtotal="0"/>
    <pivotField dataField="1" compact="0" outline="0" subtotalTop="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h="1" x="0"/>
      </items>
    </pivotField>
    <pivotField axis="axisRow" compact="0" outline="0" subtotalTop="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16">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16" format="2" series="1">
      <pivotArea type="data" outline="0" fieldPosition="0">
        <references count="2">
          <reference field="4294967294" count="1" selected="0">
            <x v="0"/>
          </reference>
          <reference field="13" count="1" selected="0">
            <x v="2"/>
          </reference>
        </references>
      </pivotArea>
    </chartFormat>
    <chartFormat chart="16" format="3" series="1">
      <pivotArea type="data" outline="0" fieldPosition="0">
        <references count="2">
          <reference field="4294967294" count="1" selected="0">
            <x v="0"/>
          </reference>
          <reference field="13" count="1" selected="0">
            <x v="3"/>
          </reference>
        </references>
      </pivotArea>
    </chartFormat>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 chart="17" format="10" series="1">
      <pivotArea type="data" outline="0" fieldPosition="0">
        <references count="2">
          <reference field="4294967294" count="1" selected="0">
            <x v="0"/>
          </reference>
          <reference field="13" count="1" selected="0">
            <x v="2"/>
          </reference>
        </references>
      </pivotArea>
    </chartFormat>
    <chartFormat chart="17" format="11" series="1">
      <pivotArea type="data" outline="0" fieldPosition="0">
        <references count="2">
          <reference field="4294967294" count="1" selected="0">
            <x v="0"/>
          </reference>
          <reference field="13" count="1" selected="0">
            <x v="3"/>
          </reference>
        </references>
      </pivotArea>
    </chartFormat>
    <chartFormat chart="18" format="12" series="1">
      <pivotArea type="data" outline="0" fieldPosition="0">
        <references count="2">
          <reference field="4294967294" count="1" selected="0">
            <x v="0"/>
          </reference>
          <reference field="13" count="1" selected="0">
            <x v="0"/>
          </reference>
        </references>
      </pivotArea>
    </chartFormat>
    <chartFormat chart="18" format="13" series="1">
      <pivotArea type="data" outline="0" fieldPosition="0">
        <references count="2">
          <reference field="4294967294" count="1" selected="0">
            <x v="0"/>
          </reference>
          <reference field="13" count="1" selected="0">
            <x v="1"/>
          </reference>
        </references>
      </pivotArea>
    </chartFormat>
    <chartFormat chart="18" format="14" series="1">
      <pivotArea type="data" outline="0" fieldPosition="0">
        <references count="2">
          <reference field="4294967294" count="1" selected="0">
            <x v="0"/>
          </reference>
          <reference field="13" count="1" selected="0">
            <x v="2"/>
          </reference>
        </references>
      </pivotArea>
    </chartFormat>
    <chartFormat chart="18" format="15" series="1">
      <pivotArea type="data" outline="0" fieldPosition="0">
        <references count="2">
          <reference field="4294967294" count="1" selected="0">
            <x v="0"/>
          </reference>
          <reference field="13" count="1" selected="0">
            <x v="3"/>
          </reference>
        </references>
      </pivotArea>
    </chartFormat>
    <chartFormat chart="19" format="12" series="1">
      <pivotArea type="data" outline="0" fieldPosition="0">
        <references count="2">
          <reference field="4294967294" count="1" selected="0">
            <x v="0"/>
          </reference>
          <reference field="13" count="1" selected="0">
            <x v="0"/>
          </reference>
        </references>
      </pivotArea>
    </chartFormat>
    <chartFormat chart="19" format="13" series="1">
      <pivotArea type="data" outline="0" fieldPosition="0">
        <references count="2">
          <reference field="4294967294" count="1" selected="0">
            <x v="0"/>
          </reference>
          <reference field="13" count="1" selected="0">
            <x v="1"/>
          </reference>
        </references>
      </pivotArea>
    </chartFormat>
    <chartFormat chart="19" format="14" series="1">
      <pivotArea type="data" outline="0" fieldPosition="0">
        <references count="2">
          <reference field="4294967294" count="1" selected="0">
            <x v="0"/>
          </reference>
          <reference field="13" count="1" selected="0">
            <x v="2"/>
          </reference>
        </references>
      </pivotArea>
    </chartFormat>
    <chartFormat chart="19"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113BB-E5C3-4E04-B7A8-B4096B76FF29}" name="PivotTable2"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7">
    <pivotField showAll="0"/>
    <pivotField numFmtId="166" showAll="0"/>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numFmtId="44" showAll="0"/>
    <pivotField dataField="1" showAll="0"/>
    <pivotField showAll="0"/>
    <pivotField showAll="0"/>
    <pivotField showAll="0"/>
    <pivotField showAll="0" defaultSubtotal="0"/>
  </pivotFields>
  <rowFields count="1">
    <field x="7"/>
  </rowFields>
  <rowItems count="4">
    <i>
      <x v="1"/>
    </i>
    <i>
      <x/>
    </i>
    <i>
      <x v="2"/>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AC42D-4821-4833-8D06-78D4A308AB90}" name="Top 5 Customers" cacheId="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8" firstHeaderRow="1" firstDataRow="1" firstDataCol="1"/>
  <pivotFields count="17">
    <pivotField showAll="0" defaultSubtotal="0"/>
    <pivotField numFmtId="166" showAll="0" defaultSubtotal="0"/>
    <pivotField showAll="0" defaultSubtotal="0"/>
    <pivotField showAll="0" defaultSubtotal="0"/>
    <pivotField showAll="0" defaultSubtotal="0"/>
    <pivotField axis="axisRow"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numFmtId="44" showAll="0" defaultSubtotal="0"/>
    <pivotField numFmtId="44" showAll="0" defaultSubtotal="0"/>
    <pivotField dataField="1" showAll="0" defaultSubtotal="0"/>
    <pivotField showAll="0" defaultSubtotal="0"/>
    <pivotField showAll="0" defaultSubtotal="0"/>
    <pivotField showAll="0" defaultSubtotal="0"/>
    <pivotField showAll="0" defaultSubtotal="0"/>
  </pivotFields>
  <rowFields count="1">
    <field x="5"/>
  </rowFields>
  <rowItems count="5">
    <i>
      <x v="255"/>
    </i>
    <i>
      <x v="646"/>
    </i>
    <i>
      <x v="831"/>
    </i>
    <i>
      <x v="125"/>
    </i>
    <i>
      <x v="28"/>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B30F691-89C2-4BB0-818A-8C4AFA896F0A}" sourceName="Loyalty Card">
  <pivotTables>
    <pivotTable tabId="18" name="TotalSales"/>
  </pivotTables>
  <data>
    <tabular pivotCacheId="174347248">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2" xr10:uid="{DF902D2E-9B3B-467F-99C2-7AB9F8F18F29}" sourceName="Roast Type2">
  <pivotTables>
    <pivotTable tabId="18" name="TotalSales"/>
  </pivotTables>
  <data>
    <tabular pivotCacheId="1743472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583AA3E-9FE8-4ACF-8470-8F80E686864C}" sourceName="Size">
  <pivotTables>
    <pivotTable tabId="18" name="TotalSales"/>
  </pivotTables>
  <data>
    <tabular pivotCacheId="17434724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EAF721C0-2125-4448-BAD6-9D9D64FC3867}" cache="Slicer_Loyalty_Card" caption="Loyalty Card" rowHeight="234950"/>
  <slicer name="Roast Type2" xr10:uid="{640125CE-DCE1-4E98-8127-742B603D73C1}" cache="Slicer_Roast_Type2" caption="Roast Type2" columnCount="3" rowHeight="274320"/>
  <slicer name="Size" xr10:uid="{8D208F9C-A141-40CE-9357-4A339E7FE65E}" cache="Slicer_Size" caption="Siz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6418D673-31C8-458A-8FFD-636F069626F4}" cache="Slicer_Loyalty_Card" caption="Loyalty Card" rowHeight="234950"/>
  <slicer name="Roast Type2 1" xr10:uid="{93B8E9CC-FA71-4C80-8A3E-49925507C5E4}" cache="Slicer_Roast_Type2" caption="Roast Type2" columnCount="3" rowHeight="274320"/>
  <slicer name="Size 1" xr10:uid="{108AEBF4-EA95-46B8-8F27-6D219DF2445F}" cache="Slicer_Size" caption="Siz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4881DC-1E94-4944-A4AD-EB876A11B02D}" name="Orders" displayName="Orders" ref="A1:P1001" totalsRowShown="0" headerRowDxfId="13">
  <autoFilter ref="A1:P1001" xr:uid="{A54881DC-1E94-4944-A4AD-EB876A11B02D}"/>
  <tableColumns count="16">
    <tableColumn id="1" xr3:uid="{BF10CDDB-C8B5-4FA3-945C-2F944D8A8C9E}" name="Order ID" dataDxfId="22"/>
    <tableColumn id="2" xr3:uid="{0A466147-C17C-4871-B1DE-F96E878A83AA}" name="Order Date" dataDxfId="21"/>
    <tableColumn id="3" xr3:uid="{3D5DEB92-2419-4E18-8AF9-B4882FDADA7F}" name="Customer ID" dataDxfId="20"/>
    <tableColumn id="4" xr3:uid="{2FCC71D3-6FBA-4A6E-BFDF-2F105A317B69}" name="Product ID"/>
    <tableColumn id="5" xr3:uid="{7CC8446E-FED6-4CE9-A601-80EBAC707694}" name="Quantity" dataDxfId="19"/>
    <tableColumn id="6" xr3:uid="{487E5BF3-FE7E-4DDE-B518-19FDB289B1A1}" name="Customer Name" dataDxfId="18">
      <calculatedColumnFormula>_xlfn.XLOOKUP(C2,customers!$A$1:$A$1001,customers!$B$1:$B$1001,,0)</calculatedColumnFormula>
    </tableColumn>
    <tableColumn id="7" xr3:uid="{BE685EF3-CFDA-4943-9C4C-ED61F3703E7E}" name="Email" dataDxfId="17">
      <calculatedColumnFormula>_xlfn.XLOOKUP(C2,customers!$A$1:$A$1001,customers!$C$1:$C$1001,,0)</calculatedColumnFormula>
    </tableColumn>
    <tableColumn id="8" xr3:uid="{9711BFAF-B356-4F57-AD53-98B35F4D4A3E}" name="Country" dataDxfId="16">
      <calculatedColumnFormula>_xlfn.XLOOKUP(C2,customers!$A$1:$A$1001,customers!$G$1:$G$1001,,0)</calculatedColumnFormula>
    </tableColumn>
    <tableColumn id="9" xr3:uid="{94F859C5-1074-4827-991E-175E7F36BEC4}" name="Coffee Type">
      <calculatedColumnFormula>INDEX(products!$A$1:$G$49,MATCH(orders!$D2,products!$A$1:$A$49,0),MATCH(orders!I$1,products!$A$1:$G$1,0))</calculatedColumnFormula>
    </tableColumn>
    <tableColumn id="10" xr3:uid="{0AC429FA-B751-4D41-AADE-71A12D896B4C}" name="Roast Type">
      <calculatedColumnFormula>INDEX(products!$A$1:$G$49,MATCH(orders!$D2,products!$A$1:$A$49,0),MATCH(orders!J$1,products!$A$1:$G$1,0))</calculatedColumnFormula>
    </tableColumn>
    <tableColumn id="11" xr3:uid="{483180B7-694C-4B71-AC23-F81D336A56FD}" name="Size" dataDxfId="15" dataCellStyle="Currency">
      <calculatedColumnFormula>INDEX(products!$A$1:$G$49,MATCH(orders!$D2,products!$A$1:$A$49,0),MATCH(orders!K$1,products!$A$1:$G$1,0))</calculatedColumnFormula>
    </tableColumn>
    <tableColumn id="12" xr3:uid="{0B9A86B8-9C17-43C0-B5BD-CC71A68624B7}" name="Unit Price" dataDxfId="14" dataCellStyle="Currency">
      <calculatedColumnFormula>INDEX(products!$A$1:$G$49,MATCH(orders!$D2,products!$A$1:$A$49,0),MATCH(orders!L$1,products!$A$1:$G$1,0))</calculatedColumnFormula>
    </tableColumn>
    <tableColumn id="13" xr3:uid="{C7BFC825-1BC7-4F39-94AE-228FC48258BB}" name="Sales">
      <calculatedColumnFormula>L2*E2</calculatedColumnFormula>
    </tableColumn>
    <tableColumn id="14" xr3:uid="{23AA407C-2E7C-4B70-96B8-FB2079631280}" name="Coffee Type Name ">
      <calculatedColumnFormula>IF(I2="Rob","Robusta",IF(I2="Exc","Excelsa",IF(I2="Ara","Arabica",IF(I2="Lib","Liberica",""))))</calculatedColumnFormula>
    </tableColumn>
    <tableColumn id="15" xr3:uid="{F39DBAC4-2CDE-4937-98BF-BB9D4BF43CC9}" name="Roast Type2">
      <calculatedColumnFormula>IF(J2="M","Medium",IF(J2="L","Light",IF(J2="D","Dark",)))</calculatedColumnFormula>
    </tableColumn>
    <tableColumn id="16" xr3:uid="{3A7625E2-8494-4DFE-B6DC-04B9A7386D00}" name="Loyalty Card" dataDxfId="1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937A280-F4EC-47C6-BC35-6BAEEA676F2B}" sourceName="Order Date">
  <pivotTables>
    <pivotTable tabId="18" name="TotalSales"/>
  </pivotTables>
  <state minimalRefreshVersion="6" lastRefreshVersion="6" pivotCacheId="1743472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36AA6E4-DC03-4916-9A3B-0280E50A0887}" cache="NativeTimeline_Order_Date" caption="Order Date" level="2" selectionLevel="2" scrollPosition="2021-06-02T00:00:00" style="Purple Timeline Style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A27EEAB-8C76-4853-AC5B-497FBD80DCA4}" cache="NativeTimeline_Order_Date" caption="Order Date" level="2" selectionLevel="2" scrollPosition="2021-06-02T00:00:00" style="Purple Timeline Style "/>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002A-38A7-43CF-B829-B697F54305DE}">
  <dimension ref="A3:F48"/>
  <sheetViews>
    <sheetView topLeftCell="E1" zoomScale="82" zoomScaleNormal="115" workbookViewId="0">
      <selection activeCell="W28" sqref="W28"/>
    </sheetView>
  </sheetViews>
  <sheetFormatPr defaultRowHeight="14.4" x14ac:dyDescent="0.3"/>
  <cols>
    <col min="1" max="1" width="8.21875" bestFit="1" customWidth="1"/>
    <col min="2" max="2" width="12.88671875" bestFit="1" customWidth="1"/>
    <col min="3" max="3" width="19.88671875" bestFit="1" customWidth="1"/>
    <col min="4" max="4" width="7" bestFit="1" customWidth="1"/>
    <col min="5" max="5" width="7.44140625" bestFit="1" customWidth="1"/>
    <col min="6" max="6" width="7.88671875" bestFit="1" customWidth="1"/>
    <col min="7" max="9" width="19.88671875" bestFit="1" customWidth="1"/>
  </cols>
  <sheetData>
    <row r="3" spans="1:6" x14ac:dyDescent="0.3">
      <c r="A3" s="10" t="s">
        <v>6216</v>
      </c>
      <c r="C3" s="10" t="s">
        <v>6196</v>
      </c>
    </row>
    <row r="4" spans="1:6" x14ac:dyDescent="0.3">
      <c r="A4" s="10" t="s">
        <v>6221</v>
      </c>
      <c r="B4" s="10" t="s">
        <v>1</v>
      </c>
      <c r="C4" t="s">
        <v>6217</v>
      </c>
      <c r="D4" t="s">
        <v>6218</v>
      </c>
      <c r="E4" t="s">
        <v>6219</v>
      </c>
      <c r="F4" t="s">
        <v>6220</v>
      </c>
    </row>
    <row r="5" spans="1:6" x14ac:dyDescent="0.3">
      <c r="A5" t="s">
        <v>6200</v>
      </c>
      <c r="B5" s="13" t="s">
        <v>6201</v>
      </c>
      <c r="C5" s="14">
        <v>186.85499999999999</v>
      </c>
      <c r="D5" s="14">
        <v>198.24</v>
      </c>
      <c r="E5" s="14">
        <v>118.05999999999999</v>
      </c>
      <c r="F5" s="14">
        <v>111.06</v>
      </c>
    </row>
    <row r="6" spans="1:6" x14ac:dyDescent="0.3">
      <c r="B6" s="13" t="s">
        <v>6202</v>
      </c>
      <c r="C6" s="14">
        <v>89.839999999999989</v>
      </c>
      <c r="D6" s="14">
        <v>41.25</v>
      </c>
      <c r="E6" s="14">
        <v>119.13999999999999</v>
      </c>
      <c r="F6" s="14">
        <v>71.699999999999989</v>
      </c>
    </row>
    <row r="7" spans="1:6" x14ac:dyDescent="0.3">
      <c r="B7" s="13" t="s">
        <v>6203</v>
      </c>
      <c r="C7" s="14">
        <v>224.94499999999999</v>
      </c>
      <c r="D7" s="14">
        <v>189.54000000000002</v>
      </c>
      <c r="E7" s="14">
        <v>245.34999999999997</v>
      </c>
      <c r="F7" s="14">
        <v>36.734999999999999</v>
      </c>
    </row>
    <row r="8" spans="1:6" x14ac:dyDescent="0.3">
      <c r="B8" s="13" t="s">
        <v>6204</v>
      </c>
      <c r="C8" s="14">
        <v>64.75</v>
      </c>
      <c r="D8" s="14">
        <v>181.16999999999996</v>
      </c>
      <c r="E8" s="14">
        <v>429.05499999999995</v>
      </c>
      <c r="F8" s="14">
        <v>21.509999999999998</v>
      </c>
    </row>
    <row r="9" spans="1:6" x14ac:dyDescent="0.3">
      <c r="B9" s="13" t="s">
        <v>6205</v>
      </c>
      <c r="C9" s="14">
        <v>53.664999999999992</v>
      </c>
      <c r="D9" s="14">
        <v>7.29</v>
      </c>
      <c r="E9" s="14"/>
      <c r="F9" s="14"/>
    </row>
    <row r="10" spans="1:6" x14ac:dyDescent="0.3">
      <c r="B10" s="13" t="s">
        <v>6206</v>
      </c>
      <c r="C10" s="14"/>
      <c r="D10" s="14">
        <v>547.7349999999999</v>
      </c>
      <c r="E10" s="14">
        <v>124.27499999999999</v>
      </c>
      <c r="F10" s="14">
        <v>90.734999999999985</v>
      </c>
    </row>
    <row r="11" spans="1:6" x14ac:dyDescent="0.3">
      <c r="B11" s="13" t="s">
        <v>6207</v>
      </c>
      <c r="C11" s="14">
        <v>169.95</v>
      </c>
      <c r="D11" s="14">
        <v>218.67999999999995</v>
      </c>
      <c r="E11" s="14">
        <v>171.18</v>
      </c>
      <c r="F11" s="14">
        <v>141.41499999999999</v>
      </c>
    </row>
    <row r="12" spans="1:6" x14ac:dyDescent="0.3">
      <c r="B12" s="13" t="s">
        <v>6208</v>
      </c>
      <c r="C12" s="14">
        <v>213.67499999999998</v>
      </c>
      <c r="D12" s="14">
        <v>41.25</v>
      </c>
      <c r="E12" s="14">
        <v>134.23000000000002</v>
      </c>
      <c r="F12" s="14">
        <v>123.255</v>
      </c>
    </row>
    <row r="13" spans="1:6" x14ac:dyDescent="0.3">
      <c r="B13" s="13" t="s">
        <v>6209</v>
      </c>
      <c r="C13" s="14">
        <v>178.70999999999998</v>
      </c>
      <c r="D13" s="14">
        <v>35.75</v>
      </c>
      <c r="E13" s="14">
        <v>228.58499999999998</v>
      </c>
      <c r="F13" s="14">
        <v>35.82</v>
      </c>
    </row>
    <row r="14" spans="1:6" x14ac:dyDescent="0.3">
      <c r="B14" s="13" t="s">
        <v>6210</v>
      </c>
      <c r="C14" s="14">
        <v>187.97499999999999</v>
      </c>
      <c r="D14" s="14">
        <v>114.07499999999999</v>
      </c>
      <c r="E14" s="14">
        <v>54.389999999999993</v>
      </c>
      <c r="F14" s="14">
        <v>213.66499999999999</v>
      </c>
    </row>
    <row r="15" spans="1:6" x14ac:dyDescent="0.3">
      <c r="B15" s="13" t="s">
        <v>6211</v>
      </c>
      <c r="C15" s="14">
        <v>67.5</v>
      </c>
      <c r="D15" s="14"/>
      <c r="E15" s="14">
        <v>224.39499999999998</v>
      </c>
      <c r="F15" s="14">
        <v>23.279999999999998</v>
      </c>
    </row>
    <row r="16" spans="1:6" x14ac:dyDescent="0.3">
      <c r="B16" s="13" t="s">
        <v>6212</v>
      </c>
      <c r="C16" s="14">
        <v>248.23499999999999</v>
      </c>
      <c r="D16" s="14">
        <v>204.92999999999995</v>
      </c>
      <c r="E16" s="14">
        <v>49.209999999999994</v>
      </c>
      <c r="F16" s="14">
        <v>58.554999999999993</v>
      </c>
    </row>
    <row r="17" spans="1:6" x14ac:dyDescent="0.3">
      <c r="A17" t="s">
        <v>6213</v>
      </c>
      <c r="B17" s="13" t="s">
        <v>6201</v>
      </c>
      <c r="C17" s="14"/>
      <c r="D17" s="14">
        <v>54.870000000000005</v>
      </c>
      <c r="E17" s="14">
        <v>42.795000000000002</v>
      </c>
      <c r="F17" s="14">
        <v>157.72499999999999</v>
      </c>
    </row>
    <row r="18" spans="1:6" x14ac:dyDescent="0.3">
      <c r="B18" s="13" t="s">
        <v>6202</v>
      </c>
      <c r="C18" s="14">
        <v>739.48</v>
      </c>
      <c r="D18" s="14">
        <v>334.33500000000004</v>
      </c>
      <c r="E18" s="14">
        <v>120.43499999999999</v>
      </c>
      <c r="F18" s="14">
        <v>402.67999999999995</v>
      </c>
    </row>
    <row r="19" spans="1:6" x14ac:dyDescent="0.3">
      <c r="B19" s="13" t="s">
        <v>6203</v>
      </c>
      <c r="C19" s="14">
        <v>66.66</v>
      </c>
      <c r="D19" s="14">
        <v>85.454999999999998</v>
      </c>
      <c r="E19" s="14">
        <v>80.86</v>
      </c>
      <c r="F19" s="14">
        <v>165.96</v>
      </c>
    </row>
    <row r="20" spans="1:6" x14ac:dyDescent="0.3">
      <c r="B20" s="13" t="s">
        <v>6204</v>
      </c>
      <c r="C20" s="14">
        <v>27</v>
      </c>
      <c r="D20" s="14">
        <v>77.760000000000005</v>
      </c>
      <c r="E20" s="14">
        <v>123.73500000000001</v>
      </c>
      <c r="F20" s="14">
        <v>114.42499999999998</v>
      </c>
    </row>
    <row r="21" spans="1:6" x14ac:dyDescent="0.3">
      <c r="B21" s="13" t="s">
        <v>6205</v>
      </c>
      <c r="C21" s="14">
        <v>39.799999999999997</v>
      </c>
      <c r="D21" s="14">
        <v>245.67499999999995</v>
      </c>
      <c r="E21" s="14">
        <v>59.655000000000001</v>
      </c>
      <c r="F21" s="14">
        <v>44.154999999999994</v>
      </c>
    </row>
    <row r="22" spans="1:6" x14ac:dyDescent="0.3">
      <c r="B22" s="13" t="s">
        <v>6206</v>
      </c>
      <c r="C22" s="14">
        <v>344.03999999999996</v>
      </c>
      <c r="D22" s="14">
        <v>191.715</v>
      </c>
      <c r="E22" s="14">
        <v>142.91499999999999</v>
      </c>
      <c r="F22" s="14"/>
    </row>
    <row r="23" spans="1:6" x14ac:dyDescent="0.3">
      <c r="B23" s="13" t="s">
        <v>6207</v>
      </c>
      <c r="C23" s="14">
        <v>79.47</v>
      </c>
      <c r="D23" s="14">
        <v>110</v>
      </c>
      <c r="E23" s="14">
        <v>175.20499999999998</v>
      </c>
      <c r="F23" s="14">
        <v>266.90999999999997</v>
      </c>
    </row>
    <row r="24" spans="1:6" x14ac:dyDescent="0.3">
      <c r="B24" s="13" t="s">
        <v>6208</v>
      </c>
      <c r="C24" s="14">
        <v>22.5</v>
      </c>
      <c r="D24" s="14">
        <v>77.72</v>
      </c>
      <c r="E24" s="14">
        <v>28.53</v>
      </c>
      <c r="F24" s="14">
        <v>127.73999999999998</v>
      </c>
    </row>
    <row r="25" spans="1:6" x14ac:dyDescent="0.3">
      <c r="B25" s="13" t="s">
        <v>6209</v>
      </c>
      <c r="C25" s="14">
        <v>101.49</v>
      </c>
      <c r="D25" s="14">
        <v>195.11</v>
      </c>
      <c r="E25" s="14">
        <v>64.08</v>
      </c>
      <c r="F25" s="14">
        <v>296.69</v>
      </c>
    </row>
    <row r="26" spans="1:6" x14ac:dyDescent="0.3">
      <c r="B26" s="13" t="s">
        <v>6210</v>
      </c>
      <c r="C26" s="14">
        <v>97.874999999999986</v>
      </c>
      <c r="D26" s="14">
        <v>156.655</v>
      </c>
      <c r="E26" s="14">
        <v>135.22500000000002</v>
      </c>
      <c r="F26" s="14">
        <v>43.019999999999996</v>
      </c>
    </row>
    <row r="27" spans="1:6" x14ac:dyDescent="0.3">
      <c r="B27" s="13" t="s">
        <v>6211</v>
      </c>
      <c r="C27" s="14">
        <v>165.23499999999999</v>
      </c>
      <c r="D27" s="14"/>
      <c r="E27" s="14">
        <v>119.13999999999999</v>
      </c>
      <c r="F27" s="14">
        <v>26.849999999999994</v>
      </c>
    </row>
    <row r="28" spans="1:6" x14ac:dyDescent="0.3">
      <c r="B28" s="13" t="s">
        <v>6212</v>
      </c>
      <c r="C28" s="14">
        <v>23.88</v>
      </c>
      <c r="D28" s="14">
        <v>354.67499999999995</v>
      </c>
      <c r="E28" s="14">
        <v>70.86</v>
      </c>
      <c r="F28" s="14">
        <v>17.91</v>
      </c>
    </row>
    <row r="29" spans="1:6" x14ac:dyDescent="0.3">
      <c r="A29" t="s">
        <v>6214</v>
      </c>
      <c r="B29" s="13" t="s">
        <v>6201</v>
      </c>
      <c r="C29" s="14">
        <v>106.47</v>
      </c>
      <c r="D29" s="14">
        <v>12.15</v>
      </c>
      <c r="E29" s="14">
        <v>200.89000000000001</v>
      </c>
      <c r="F29" s="14">
        <v>35.82</v>
      </c>
    </row>
    <row r="30" spans="1:6" x14ac:dyDescent="0.3">
      <c r="B30" s="13" t="s">
        <v>6202</v>
      </c>
      <c r="C30" s="14">
        <v>169.99999999999997</v>
      </c>
      <c r="D30" s="14">
        <v>48.6</v>
      </c>
      <c r="E30" s="14">
        <v>244.06</v>
      </c>
      <c r="F30" s="14">
        <v>16.11</v>
      </c>
    </row>
    <row r="31" spans="1:6" x14ac:dyDescent="0.3">
      <c r="B31" s="13" t="s">
        <v>6203</v>
      </c>
      <c r="C31" s="14">
        <v>192.40499999999997</v>
      </c>
      <c r="D31" s="14">
        <v>307.38499999999999</v>
      </c>
      <c r="E31" s="14">
        <v>278.14499999999998</v>
      </c>
      <c r="F31" s="14">
        <v>163.61999999999998</v>
      </c>
    </row>
    <row r="32" spans="1:6" x14ac:dyDescent="0.3">
      <c r="B32" s="13" t="s">
        <v>6204</v>
      </c>
      <c r="C32" s="14">
        <v>62.91</v>
      </c>
      <c r="D32" s="14">
        <v>8.91</v>
      </c>
      <c r="E32" s="14">
        <v>328.95</v>
      </c>
      <c r="F32" s="14">
        <v>23.9</v>
      </c>
    </row>
    <row r="33" spans="1:6" x14ac:dyDescent="0.3">
      <c r="B33" s="13" t="s">
        <v>6205</v>
      </c>
      <c r="C33" s="14">
        <v>143.21999999999997</v>
      </c>
      <c r="D33" s="14">
        <v>94.710000000000008</v>
      </c>
      <c r="E33" s="14">
        <v>263.315</v>
      </c>
      <c r="F33" s="14">
        <v>184.61999999999998</v>
      </c>
    </row>
    <row r="34" spans="1:6" x14ac:dyDescent="0.3">
      <c r="B34" s="13" t="s">
        <v>6206</v>
      </c>
      <c r="C34" s="14">
        <v>279.70499999999998</v>
      </c>
      <c r="D34" s="14">
        <v>12.375</v>
      </c>
      <c r="E34" s="14">
        <v>187.77499999999998</v>
      </c>
      <c r="F34" s="14">
        <v>88.334999999999994</v>
      </c>
    </row>
    <row r="35" spans="1:6" x14ac:dyDescent="0.3">
      <c r="B35" s="13" t="s">
        <v>6207</v>
      </c>
      <c r="C35" s="14">
        <v>109.005</v>
      </c>
      <c r="D35" s="14">
        <v>124.7</v>
      </c>
      <c r="E35" s="14">
        <v>52.305</v>
      </c>
      <c r="F35" s="14">
        <v>145.79</v>
      </c>
    </row>
    <row r="36" spans="1:6" x14ac:dyDescent="0.3">
      <c r="B36" s="13" t="s">
        <v>6208</v>
      </c>
      <c r="C36" s="14">
        <v>119.41999999999999</v>
      </c>
      <c r="D36" s="14">
        <v>81.41</v>
      </c>
      <c r="E36" s="14">
        <v>125.58</v>
      </c>
      <c r="F36" s="14">
        <v>198.58499999999998</v>
      </c>
    </row>
    <row r="37" spans="1:6" x14ac:dyDescent="0.3">
      <c r="B37" s="13" t="s">
        <v>6209</v>
      </c>
      <c r="C37" s="14">
        <v>667.51499999999999</v>
      </c>
      <c r="D37" s="14">
        <v>171.6</v>
      </c>
      <c r="E37" s="14">
        <v>124.71000000000001</v>
      </c>
      <c r="F37" s="14">
        <v>185.58999999999997</v>
      </c>
    </row>
    <row r="38" spans="1:6" x14ac:dyDescent="0.3">
      <c r="B38" s="13" t="s">
        <v>6210</v>
      </c>
      <c r="C38" s="14">
        <v>242.99999999999997</v>
      </c>
      <c r="D38" s="14">
        <v>260.32499999999999</v>
      </c>
      <c r="E38" s="14">
        <v>285.57000000000005</v>
      </c>
      <c r="F38" s="14">
        <v>115.27999999999999</v>
      </c>
    </row>
    <row r="39" spans="1:6" x14ac:dyDescent="0.3">
      <c r="B39" s="13" t="s">
        <v>6211</v>
      </c>
      <c r="C39" s="14">
        <v>63.314999999999998</v>
      </c>
      <c r="D39" s="14">
        <v>459.54999999999995</v>
      </c>
      <c r="E39" s="14">
        <v>275.08999999999997</v>
      </c>
      <c r="F39" s="14"/>
    </row>
    <row r="40" spans="1:6" x14ac:dyDescent="0.3">
      <c r="B40" s="13" t="s">
        <v>6212</v>
      </c>
      <c r="C40" s="14">
        <v>201.86999999999998</v>
      </c>
      <c r="D40" s="14">
        <v>129.97500000000002</v>
      </c>
      <c r="E40" s="14">
        <v>146.36999999999998</v>
      </c>
      <c r="F40" s="14">
        <v>185.22499999999997</v>
      </c>
    </row>
    <row r="41" spans="1:6" x14ac:dyDescent="0.3">
      <c r="A41" t="s">
        <v>6215</v>
      </c>
      <c r="B41" s="13" t="s">
        <v>6201</v>
      </c>
      <c r="C41" s="14">
        <v>30.06</v>
      </c>
      <c r="D41" s="14">
        <v>72.36</v>
      </c>
      <c r="E41" s="14">
        <v>463.28000000000003</v>
      </c>
      <c r="F41" s="14">
        <v>68.650000000000006</v>
      </c>
    </row>
    <row r="42" spans="1:6" x14ac:dyDescent="0.3">
      <c r="B42" s="13" t="s">
        <v>6202</v>
      </c>
      <c r="C42" s="14">
        <v>49.209999999999994</v>
      </c>
      <c r="D42" s="14">
        <v>129.69</v>
      </c>
      <c r="E42" s="14">
        <v>67.400000000000006</v>
      </c>
      <c r="F42" s="14">
        <v>53.759999999999991</v>
      </c>
    </row>
    <row r="43" spans="1:6" x14ac:dyDescent="0.3">
      <c r="B43" s="13" t="s">
        <v>6203</v>
      </c>
      <c r="C43" s="14">
        <v>45</v>
      </c>
      <c r="D43" s="14">
        <v>147.01499999999999</v>
      </c>
      <c r="E43" s="14">
        <v>4.3650000000000002</v>
      </c>
      <c r="F43" s="14">
        <v>159.17499999999995</v>
      </c>
    </row>
    <row r="44" spans="1:6" x14ac:dyDescent="0.3">
      <c r="B44" s="13" t="s">
        <v>6204</v>
      </c>
      <c r="C44" s="14">
        <v>7.77</v>
      </c>
      <c r="D44" s="14">
        <v>69.3</v>
      </c>
      <c r="E44" s="14">
        <v>45.81</v>
      </c>
      <c r="F44" s="14">
        <v>81.209999999999994</v>
      </c>
    </row>
    <row r="45" spans="1:6" x14ac:dyDescent="0.3">
      <c r="B45" s="13" t="s">
        <v>6205</v>
      </c>
      <c r="C45" s="14">
        <v>100.72499999999999</v>
      </c>
      <c r="D45" s="14">
        <v>70.539999999999992</v>
      </c>
      <c r="E45" s="14">
        <v>213.10999999999999</v>
      </c>
      <c r="F45" s="14">
        <v>208.86999999999998</v>
      </c>
    </row>
    <row r="46" spans="1:6" x14ac:dyDescent="0.3">
      <c r="B46" s="13" t="s">
        <v>6206</v>
      </c>
      <c r="C46" s="14">
        <v>132.03</v>
      </c>
      <c r="D46" s="14">
        <v>236.51999999999995</v>
      </c>
      <c r="E46" s="14">
        <v>161.35999999999999</v>
      </c>
      <c r="F46" s="14">
        <v>240.58499999999995</v>
      </c>
    </row>
    <row r="47" spans="1:6" x14ac:dyDescent="0.3">
      <c r="B47" s="13" t="s">
        <v>6207</v>
      </c>
      <c r="C47" s="14">
        <v>165.755</v>
      </c>
      <c r="D47" s="14">
        <v>81.27</v>
      </c>
      <c r="E47" s="14">
        <v>271.05500000000001</v>
      </c>
      <c r="F47" s="14">
        <v>76.03</v>
      </c>
    </row>
    <row r="48" spans="1:6" x14ac:dyDescent="0.3">
      <c r="B48" s="13" t="s">
        <v>6208</v>
      </c>
      <c r="C48" s="14">
        <v>86.609999999999985</v>
      </c>
      <c r="D48" s="14"/>
      <c r="E48" s="14">
        <v>15.54</v>
      </c>
      <c r="F48" s="14">
        <v>25.68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778F-192D-49F6-BAA7-D3806F0AB24E}">
  <dimension ref="H1:H11"/>
  <sheetViews>
    <sheetView tabSelected="1" zoomScale="80" zoomScaleNormal="80" workbookViewId="0">
      <selection activeCell="AA31" sqref="AA31"/>
    </sheetView>
  </sheetViews>
  <sheetFormatPr defaultRowHeight="14.4" x14ac:dyDescent="0.3"/>
  <cols>
    <col min="1" max="1" width="1.77734375" customWidth="1"/>
  </cols>
  <sheetData>
    <row r="1" spans="8:8" ht="4.95" customHeight="1" x14ac:dyDescent="0.3"/>
    <row r="11" spans="8:8" x14ac:dyDescent="0.3">
      <c r="H11" t="s">
        <v>6222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6EE6-37CE-45B3-A130-F11DC43C69A8}">
  <dimension ref="A3:B7"/>
  <sheetViews>
    <sheetView workbookViewId="0">
      <selection activeCell="Q4" sqref="Q4"/>
    </sheetView>
  </sheetViews>
  <sheetFormatPr defaultRowHeight="14.4" x14ac:dyDescent="0.3"/>
  <cols>
    <col min="1" max="1" width="14" bestFit="1" customWidth="1"/>
    <col min="2" max="2" width="11.6640625" bestFit="1" customWidth="1"/>
  </cols>
  <sheetData>
    <row r="3" spans="1:2" x14ac:dyDescent="0.3">
      <c r="A3" s="10" t="s">
        <v>6198</v>
      </c>
      <c r="B3" t="s">
        <v>6216</v>
      </c>
    </row>
    <row r="4" spans="1:2" x14ac:dyDescent="0.3">
      <c r="A4" s="11" t="s">
        <v>28</v>
      </c>
      <c r="B4" s="12">
        <v>2798.5050000000001</v>
      </c>
    </row>
    <row r="5" spans="1:2" x14ac:dyDescent="0.3">
      <c r="A5" s="11" t="s">
        <v>318</v>
      </c>
      <c r="B5" s="12">
        <v>6696.8649999999989</v>
      </c>
    </row>
    <row r="6" spans="1:2" x14ac:dyDescent="0.3">
      <c r="A6" s="11" t="s">
        <v>19</v>
      </c>
      <c r="B6" s="12">
        <v>35638.88499999998</v>
      </c>
    </row>
    <row r="7" spans="1:2" x14ac:dyDescent="0.3">
      <c r="A7" s="11" t="s">
        <v>6199</v>
      </c>
      <c r="B7" s="12">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5B015-8BCE-4F31-BE34-BB0BCA250D0D}">
  <dimension ref="A3:B8"/>
  <sheetViews>
    <sheetView workbookViewId="0">
      <selection activeCell="P6" sqref="P6"/>
    </sheetView>
  </sheetViews>
  <sheetFormatPr defaultRowHeight="14.4" x14ac:dyDescent="0.3"/>
  <cols>
    <col min="1" max="1" width="15.109375" bestFit="1" customWidth="1"/>
    <col min="2" max="2" width="11.6640625" bestFit="1" customWidth="1"/>
  </cols>
  <sheetData>
    <row r="3" spans="1:2" x14ac:dyDescent="0.3">
      <c r="A3" s="10" t="s">
        <v>6198</v>
      </c>
      <c r="B3" t="s">
        <v>6216</v>
      </c>
    </row>
    <row r="4" spans="1:2" x14ac:dyDescent="0.3">
      <c r="A4" s="11" t="s">
        <v>3753</v>
      </c>
      <c r="B4" s="12">
        <v>278.01</v>
      </c>
    </row>
    <row r="5" spans="1:2" x14ac:dyDescent="0.3">
      <c r="A5" s="11" t="s">
        <v>1598</v>
      </c>
      <c r="B5" s="12">
        <v>281.67499999999995</v>
      </c>
    </row>
    <row r="6" spans="1:2" x14ac:dyDescent="0.3">
      <c r="A6" s="11" t="s">
        <v>2587</v>
      </c>
      <c r="B6" s="12">
        <v>289.11</v>
      </c>
    </row>
    <row r="7" spans="1:2" x14ac:dyDescent="0.3">
      <c r="A7" s="11" t="s">
        <v>5765</v>
      </c>
      <c r="B7" s="12">
        <v>307.04499999999996</v>
      </c>
    </row>
    <row r="8" spans="1:2" x14ac:dyDescent="0.3">
      <c r="A8" s="11" t="s">
        <v>5114</v>
      </c>
      <c r="B8" s="12">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96" zoomScaleNormal="115" workbookViewId="0">
      <selection activeCell="L12" sqref="L12"/>
    </sheetView>
  </sheetViews>
  <sheetFormatPr defaultRowHeight="14.4" x14ac:dyDescent="0.3"/>
  <cols>
    <col min="1" max="1" width="16.5546875" bestFit="1" customWidth="1"/>
    <col min="2" max="2" width="13.77734375" style="4" customWidth="1"/>
    <col min="3" max="3" width="17.44140625" bestFit="1" customWidth="1"/>
    <col min="4" max="4" width="12.109375" customWidth="1"/>
    <col min="5" max="5" width="10.5546875" customWidth="1"/>
    <col min="6" max="6" width="17" customWidth="1"/>
    <col min="7" max="7" width="27.88671875" customWidth="1"/>
    <col min="8" max="8" width="11.6640625" customWidth="1"/>
    <col min="9" max="9" width="13.44140625" customWidth="1"/>
    <col min="10" max="10" width="12.5546875" customWidth="1"/>
    <col min="11" max="11" width="9.77734375" style="7" customWidth="1"/>
    <col min="12" max="12" width="12.77734375" customWidth="1"/>
    <col min="13" max="13" width="7.33203125" customWidth="1"/>
    <col min="14" max="14" width="19.5546875" customWidth="1"/>
    <col min="15" max="15" width="13.5546875" customWidth="1"/>
    <col min="16" max="16" width="12.77734375" customWidth="1"/>
  </cols>
  <sheetData>
    <row r="1" spans="1:16" x14ac:dyDescent="0.3">
      <c r="A1" s="2" t="s">
        <v>0</v>
      </c>
      <c r="B1" s="3" t="s">
        <v>1</v>
      </c>
      <c r="C1" s="2" t="s">
        <v>3</v>
      </c>
      <c r="D1" s="2" t="s">
        <v>11</v>
      </c>
      <c r="E1" s="2" t="s">
        <v>14</v>
      </c>
      <c r="F1" s="2" t="s">
        <v>4</v>
      </c>
      <c r="G1" s="2" t="s">
        <v>2</v>
      </c>
      <c r="H1" s="2" t="s">
        <v>7</v>
      </c>
      <c r="I1" s="2" t="s">
        <v>9</v>
      </c>
      <c r="J1" s="2" t="s">
        <v>10</v>
      </c>
      <c r="K1" s="8" t="s">
        <v>12</v>
      </c>
      <c r="L1" s="6"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9">
        <f>INDEX(products!$A$1:$G$49,MATCH(orders!$D2,products!$A$1:$A$49,0),MATCH(orders!K$1,products!$A$1:$G$1,0))</f>
        <v>1</v>
      </c>
      <c r="L2" s="5">
        <f>INDEX(products!$A$1:$G$49,MATCH(orders!$D2,products!$A$1:$A$49,0),MATCH(orders!L$1,products!$A$1:$G$1,0))</f>
        <v>9.9499999999999993</v>
      </c>
      <c r="M2">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9">
        <f>INDEX(products!$A$1:$G$49,MATCH(orders!$D3,products!$A$1:$A$49,0),MATCH(orders!K$1,products!$A$1:$G$1,0))</f>
        <v>0.5</v>
      </c>
      <c r="L3" s="5">
        <f>INDEX(products!$A$1:$G$49,MATCH(orders!$D3,products!$A$1:$A$49,0),MATCH(orders!L$1,products!$A$1:$G$1,0))</f>
        <v>8.25</v>
      </c>
      <c r="M3">
        <f>L3*E3</f>
        <v>41.25</v>
      </c>
      <c r="N3" t="str">
        <f>IF(I3="Rob","Robusta",IF(I3="Exc","Excelsa",IF(I3="Ara","Arabica",IF(I3="Lib","Liberica",""))))</f>
        <v>Excelsa</v>
      </c>
      <c r="O3" t="str">
        <f t="shared" ref="O3:O66" si="0">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9">
        <f>INDEX(products!$A$1:$G$49,MATCH(orders!$D4,products!$A$1:$A$49,0),MATCH(orders!K$1,products!$A$1:$G$1,0))</f>
        <v>1</v>
      </c>
      <c r="L4" s="5">
        <f>INDEX(products!$A$1:$G$49,MATCH(orders!$D4,products!$A$1:$A$49,0),MATCH(orders!L$1,products!$A$1:$G$1,0))</f>
        <v>12.95</v>
      </c>
      <c r="M4">
        <f>L4*E4</f>
        <v>12.95</v>
      </c>
      <c r="N4" t="str">
        <f>IF(I4="Rob","Robusta",IF(I4="Exc","Excelsa",IF(I4="Ara","Arabica",IF(I4="Lib","Liberica",""))))</f>
        <v>Arabica</v>
      </c>
      <c r="O4" t="str">
        <f t="shared" si="0"/>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f>_xlfn.XLOOKUP(C5,customers!$A$1:$A$1001,customers!$C$1:$C$1001,,0)</f>
        <v>0</v>
      </c>
      <c r="H5" s="2" t="str">
        <f>_xlfn.XLOOKUP(C5,customers!$A$1:$A$1001,customers!$G$1:$G$1001,,0)</f>
        <v>Ireland</v>
      </c>
      <c r="I5" t="str">
        <f>INDEX(products!$A$1:$G$49,MATCH(orders!$D5,products!$A$1:$A$49,0),MATCH(orders!I$1,products!$A$1:$G$1,0))</f>
        <v>Exc</v>
      </c>
      <c r="J5" t="str">
        <f>INDEX(products!$A$1:$G$49,MATCH(orders!$D5,products!$A$1:$A$49,0),MATCH(orders!J$1,products!$A$1:$G$1,0))</f>
        <v>M</v>
      </c>
      <c r="K5" s="9">
        <f>INDEX(products!$A$1:$G$49,MATCH(orders!$D5,products!$A$1:$A$49,0),MATCH(orders!K$1,products!$A$1:$G$1,0))</f>
        <v>1</v>
      </c>
      <c r="L5" s="5">
        <f>INDEX(products!$A$1:$G$49,MATCH(orders!$D5,products!$A$1:$A$49,0),MATCH(orders!L$1,products!$A$1:$G$1,0))</f>
        <v>13.75</v>
      </c>
      <c r="M5">
        <f>L5*E5</f>
        <v>27.5</v>
      </c>
      <c r="N5" t="str">
        <f>IF(I5="Rob","Robusta",IF(I5="Exc","Excelsa",IF(I5="Ara","Arabica",IF(I5="Lib","Liberica",""))))</f>
        <v>Excelsa</v>
      </c>
      <c r="O5" t="str">
        <f t="shared" si="0"/>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f>_xlfn.XLOOKUP(C6,customers!$A$1:$A$1001,customers!$C$1:$C$1001,,0)</f>
        <v>0</v>
      </c>
      <c r="H6" s="2" t="str">
        <f>_xlfn.XLOOKUP(C6,customers!$A$1:$A$1001,customers!$G$1:$G$1001,,0)</f>
        <v>Ireland</v>
      </c>
      <c r="I6" t="str">
        <f>INDEX(products!$A$1:$G$49,MATCH(orders!$D6,products!$A$1:$A$49,0),MATCH(orders!I$1,products!$A$1:$G$1,0))</f>
        <v>Rob</v>
      </c>
      <c r="J6" t="str">
        <f>INDEX(products!$A$1:$G$49,MATCH(orders!$D6,products!$A$1:$A$49,0),MATCH(orders!J$1,products!$A$1:$G$1,0))</f>
        <v>L</v>
      </c>
      <c r="K6" s="9">
        <f>INDEX(products!$A$1:$G$49,MATCH(orders!$D6,products!$A$1:$A$49,0),MATCH(orders!K$1,products!$A$1:$G$1,0))</f>
        <v>2.5</v>
      </c>
      <c r="L6" s="5">
        <f>INDEX(products!$A$1:$G$49,MATCH(orders!$D6,products!$A$1:$A$49,0),MATCH(orders!L$1,products!$A$1:$G$1,0))</f>
        <v>27.484999999999996</v>
      </c>
      <c r="M6">
        <f>L6*E6</f>
        <v>54.969999999999992</v>
      </c>
      <c r="N6" t="str">
        <f>IF(I6="Rob","Robusta",IF(I6="Exc","Excelsa",IF(I6="Ara","Arabica",IF(I6="Lib","Liberica",""))))</f>
        <v>Robusta</v>
      </c>
      <c r="O6" t="str">
        <f t="shared" si="0"/>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f>_xlfn.XLOOKUP(C7,customers!$A$1:$A$1001,customers!$C$1:$C$1001,,0)</f>
        <v>0</v>
      </c>
      <c r="H7" s="2" t="str">
        <f>_xlfn.XLOOKUP(C7,customers!$A$1:$A$1001,customers!$G$1:$G$1001,,0)</f>
        <v>United States</v>
      </c>
      <c r="I7" t="str">
        <f>INDEX(products!$A$1:$G$49,MATCH(orders!$D7,products!$A$1:$A$49,0),MATCH(orders!I$1,products!$A$1:$G$1,0))</f>
        <v>Lib</v>
      </c>
      <c r="J7" t="str">
        <f>INDEX(products!$A$1:$G$49,MATCH(orders!$D7,products!$A$1:$A$49,0),MATCH(orders!J$1,products!$A$1:$G$1,0))</f>
        <v>D</v>
      </c>
      <c r="K7" s="9">
        <f>INDEX(products!$A$1:$G$49,MATCH(orders!$D7,products!$A$1:$A$49,0),MATCH(orders!K$1,products!$A$1:$G$1,0))</f>
        <v>1</v>
      </c>
      <c r="L7" s="5">
        <f>INDEX(products!$A$1:$G$49,MATCH(orders!$D7,products!$A$1:$A$49,0),MATCH(orders!L$1,products!$A$1:$G$1,0))</f>
        <v>12.95</v>
      </c>
      <c r="M7">
        <f>L7*E7</f>
        <v>38.849999999999994</v>
      </c>
      <c r="N7" t="str">
        <f>IF(I7="Rob","Robusta",IF(I7="Exc","Excelsa",IF(I7="Ara","Arabica",IF(I7="Lib","Liberica",""))))</f>
        <v>Liberica</v>
      </c>
      <c r="O7" t="str">
        <f t="shared" si="0"/>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9">
        <f>INDEX(products!$A$1:$G$49,MATCH(orders!$D8,products!$A$1:$A$49,0),MATCH(orders!K$1,products!$A$1:$G$1,0))</f>
        <v>0.5</v>
      </c>
      <c r="L8" s="5">
        <f>INDEX(products!$A$1:$G$49,MATCH(orders!$D8,products!$A$1:$A$49,0),MATCH(orders!L$1,products!$A$1:$G$1,0))</f>
        <v>7.29</v>
      </c>
      <c r="M8">
        <f>L8*E8</f>
        <v>21.87</v>
      </c>
      <c r="N8" t="str">
        <f>IF(I8="Rob","Robusta",IF(I8="Exc","Excelsa",IF(I8="Ara","Arabica",IF(I8="Lib","Liberica",""))))</f>
        <v>Excelsa</v>
      </c>
      <c r="O8" t="str">
        <f t="shared" si="0"/>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f>_xlfn.XLOOKUP(C9,customers!$A$1:$A$1001,customers!$C$1:$C$1001,,0)</f>
        <v>0</v>
      </c>
      <c r="H9" s="2" t="str">
        <f>_xlfn.XLOOKUP(C9,customers!$A$1:$A$1001,customers!$G$1:$G$1001,,0)</f>
        <v>Ireland</v>
      </c>
      <c r="I9" t="str">
        <f>INDEX(products!$A$1:$G$49,MATCH(orders!$D9,products!$A$1:$A$49,0),MATCH(orders!I$1,products!$A$1:$G$1,0))</f>
        <v>Lib</v>
      </c>
      <c r="J9" t="str">
        <f>INDEX(products!$A$1:$G$49,MATCH(orders!$D9,products!$A$1:$A$49,0),MATCH(orders!J$1,products!$A$1:$G$1,0))</f>
        <v>L</v>
      </c>
      <c r="K9" s="9">
        <f>INDEX(products!$A$1:$G$49,MATCH(orders!$D9,products!$A$1:$A$49,0),MATCH(orders!K$1,products!$A$1:$G$1,0))</f>
        <v>0.2</v>
      </c>
      <c r="L9" s="5">
        <f>INDEX(products!$A$1:$G$49,MATCH(orders!$D9,products!$A$1:$A$49,0),MATCH(orders!L$1,products!$A$1:$G$1,0))</f>
        <v>4.7549999999999999</v>
      </c>
      <c r="M9">
        <f>L9*E9</f>
        <v>4.7549999999999999</v>
      </c>
      <c r="N9" t="str">
        <f>IF(I9="Rob","Robusta",IF(I9="Exc","Excelsa",IF(I9="Ara","Arabica",IF(I9="Lib","Liberica",""))))</f>
        <v>Liberica</v>
      </c>
      <c r="O9" t="str">
        <f t="shared" si="0"/>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9">
        <f>INDEX(products!$A$1:$G$49,MATCH(orders!$D10,products!$A$1:$A$49,0),MATCH(orders!K$1,products!$A$1:$G$1,0))</f>
        <v>0.5</v>
      </c>
      <c r="L10" s="5">
        <f>INDEX(products!$A$1:$G$49,MATCH(orders!$D10,products!$A$1:$A$49,0),MATCH(orders!L$1,products!$A$1:$G$1,0))</f>
        <v>5.97</v>
      </c>
      <c r="M10">
        <f>L10*E10</f>
        <v>17.91</v>
      </c>
      <c r="N10" t="str">
        <f>IF(I10="Rob","Robusta",IF(I10="Exc","Excelsa",IF(I10="Ara","Arabica",IF(I10="Lib","Liberica",""))))</f>
        <v>Robusta</v>
      </c>
      <c r="O10" t="str">
        <f t="shared" si="0"/>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9">
        <f>INDEX(products!$A$1:$G$49,MATCH(orders!$D11,products!$A$1:$A$49,0),MATCH(orders!K$1,products!$A$1:$G$1,0))</f>
        <v>0.5</v>
      </c>
      <c r="L11" s="5">
        <f>INDEX(products!$A$1:$G$49,MATCH(orders!$D11,products!$A$1:$A$49,0),MATCH(orders!L$1,products!$A$1:$G$1,0))</f>
        <v>5.97</v>
      </c>
      <c r="M11">
        <f>L11*E11</f>
        <v>5.97</v>
      </c>
      <c r="N11" t="str">
        <f>IF(I11="Rob","Robusta",IF(I11="Exc","Excelsa",IF(I11="Ara","Arabica",IF(I11="Lib","Liberica",""))))</f>
        <v>Robusta</v>
      </c>
      <c r="O11" t="str">
        <f t="shared" si="0"/>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9">
        <f>INDEX(products!$A$1:$G$49,MATCH(orders!$D12,products!$A$1:$A$49,0),MATCH(orders!K$1,products!$A$1:$G$1,0))</f>
        <v>1</v>
      </c>
      <c r="L12" s="5">
        <f>INDEX(products!$A$1:$G$49,MATCH(orders!$D12,products!$A$1:$A$49,0),MATCH(orders!L$1,products!$A$1:$G$1,0))</f>
        <v>9.9499999999999993</v>
      </c>
      <c r="M12">
        <f>L12*E12</f>
        <v>39.799999999999997</v>
      </c>
      <c r="N12" t="str">
        <f>IF(I12="Rob","Robusta",IF(I12="Exc","Excelsa",IF(I12="Ara","Arabica",IF(I12="Lib","Liberica",""))))</f>
        <v>Arabica</v>
      </c>
      <c r="O12" t="str">
        <f t="shared" si="0"/>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9">
        <f>INDEX(products!$A$1:$G$49,MATCH(orders!$D13,products!$A$1:$A$49,0),MATCH(orders!K$1,products!$A$1:$G$1,0))</f>
        <v>2.5</v>
      </c>
      <c r="L13" s="5">
        <f>INDEX(products!$A$1:$G$49,MATCH(orders!$D13,products!$A$1:$A$49,0),MATCH(orders!L$1,products!$A$1:$G$1,0))</f>
        <v>34.154999999999994</v>
      </c>
      <c r="M13">
        <f>L13*E13</f>
        <v>170.77499999999998</v>
      </c>
      <c r="N13" t="str">
        <f>IF(I13="Rob","Robusta",IF(I13="Exc","Excelsa",IF(I13="Ara","Arabica",IF(I13="Lib","Liberica",""))))</f>
        <v>Excelsa</v>
      </c>
      <c r="O13" t="str">
        <f t="shared" si="0"/>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9">
        <f>INDEX(products!$A$1:$G$49,MATCH(orders!$D14,products!$A$1:$A$49,0),MATCH(orders!K$1,products!$A$1:$G$1,0))</f>
        <v>1</v>
      </c>
      <c r="L14" s="5">
        <f>INDEX(products!$A$1:$G$49,MATCH(orders!$D14,products!$A$1:$A$49,0),MATCH(orders!L$1,products!$A$1:$G$1,0))</f>
        <v>9.9499999999999993</v>
      </c>
      <c r="M14">
        <f>L14*E14</f>
        <v>49.75</v>
      </c>
      <c r="N14" t="str">
        <f>IF(I14="Rob","Robusta",IF(I14="Exc","Excelsa",IF(I14="Ara","Arabica",IF(I14="Lib","Liberica",""))))</f>
        <v>Robusta</v>
      </c>
      <c r="O14" t="str">
        <f t="shared" si="0"/>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9">
        <f>INDEX(products!$A$1:$G$49,MATCH(orders!$D15,products!$A$1:$A$49,0),MATCH(orders!K$1,products!$A$1:$G$1,0))</f>
        <v>2.5</v>
      </c>
      <c r="L15" s="5">
        <f>INDEX(products!$A$1:$G$49,MATCH(orders!$D15,products!$A$1:$A$49,0),MATCH(orders!L$1,products!$A$1:$G$1,0))</f>
        <v>20.584999999999997</v>
      </c>
      <c r="M15">
        <f>L15*E15</f>
        <v>41.169999999999995</v>
      </c>
      <c r="N15" t="str">
        <f>IF(I15="Rob","Robusta",IF(I15="Exc","Excelsa",IF(I15="Ara","Arabica",IF(I15="Lib","Liberica",""))))</f>
        <v>Robusta</v>
      </c>
      <c r="O15" t="str">
        <f t="shared" si="0"/>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9">
        <f>INDEX(products!$A$1:$G$49,MATCH(orders!$D16,products!$A$1:$A$49,0),MATCH(orders!K$1,products!$A$1:$G$1,0))</f>
        <v>0.2</v>
      </c>
      <c r="L16" s="5">
        <f>INDEX(products!$A$1:$G$49,MATCH(orders!$D16,products!$A$1:$A$49,0),MATCH(orders!L$1,products!$A$1:$G$1,0))</f>
        <v>3.8849999999999998</v>
      </c>
      <c r="M16">
        <f>L16*E16</f>
        <v>11.654999999999999</v>
      </c>
      <c r="N16" t="str">
        <f>IF(I16="Rob","Robusta",IF(I16="Exc","Excelsa",IF(I16="Ara","Arabica",IF(I16="Lib","Liberica",""))))</f>
        <v>Liberica</v>
      </c>
      <c r="O16" t="str">
        <f t="shared" si="0"/>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9">
        <f>INDEX(products!$A$1:$G$49,MATCH(orders!$D17,products!$A$1:$A$49,0),MATCH(orders!K$1,products!$A$1:$G$1,0))</f>
        <v>2.5</v>
      </c>
      <c r="L17" s="5">
        <f>INDEX(products!$A$1:$G$49,MATCH(orders!$D17,products!$A$1:$A$49,0),MATCH(orders!L$1,products!$A$1:$G$1,0))</f>
        <v>22.884999999999998</v>
      </c>
      <c r="M17">
        <f>L17*E17</f>
        <v>114.42499999999998</v>
      </c>
      <c r="N17" t="str">
        <f>IF(I17="Rob","Robusta",IF(I17="Exc","Excelsa",IF(I17="Ara","Arabica",IF(I17="Lib","Liberica",""))))</f>
        <v>Robusta</v>
      </c>
      <c r="O17" t="str">
        <f t="shared" si="0"/>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9">
        <f>INDEX(products!$A$1:$G$49,MATCH(orders!$D18,products!$A$1:$A$49,0),MATCH(orders!K$1,products!$A$1:$G$1,0))</f>
        <v>0.2</v>
      </c>
      <c r="L18" s="5">
        <f>INDEX(products!$A$1:$G$49,MATCH(orders!$D18,products!$A$1:$A$49,0),MATCH(orders!L$1,products!$A$1:$G$1,0))</f>
        <v>3.375</v>
      </c>
      <c r="M18">
        <f>L18*E18</f>
        <v>20.25</v>
      </c>
      <c r="N18" t="str">
        <f>IF(I18="Rob","Robusta",IF(I18="Exc","Excelsa",IF(I18="Ara","Arabica",IF(I18="Lib","Liberica",""))))</f>
        <v>Arabica</v>
      </c>
      <c r="O18" t="str">
        <f t="shared" si="0"/>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9">
        <f>INDEX(products!$A$1:$G$49,MATCH(orders!$D19,products!$A$1:$A$49,0),MATCH(orders!K$1,products!$A$1:$G$1,0))</f>
        <v>1</v>
      </c>
      <c r="L19" s="5">
        <f>INDEX(products!$A$1:$G$49,MATCH(orders!$D19,products!$A$1:$A$49,0),MATCH(orders!L$1,products!$A$1:$G$1,0))</f>
        <v>12.95</v>
      </c>
      <c r="M19">
        <f>L19*E19</f>
        <v>77.699999999999989</v>
      </c>
      <c r="N19" t="str">
        <f>IF(I19="Rob","Robusta",IF(I19="Exc","Excelsa",IF(I19="Ara","Arabica",IF(I19="Lib","Liberica",""))))</f>
        <v>Arabica</v>
      </c>
      <c r="O19" t="str">
        <f t="shared" si="0"/>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9">
        <f>INDEX(products!$A$1:$G$49,MATCH(orders!$D20,products!$A$1:$A$49,0),MATCH(orders!K$1,products!$A$1:$G$1,0))</f>
        <v>2.5</v>
      </c>
      <c r="L20" s="5">
        <f>INDEX(products!$A$1:$G$49,MATCH(orders!$D20,products!$A$1:$A$49,0),MATCH(orders!L$1,products!$A$1:$G$1,0))</f>
        <v>20.584999999999997</v>
      </c>
      <c r="M20">
        <f>L20*E20</f>
        <v>82.339999999999989</v>
      </c>
      <c r="N20" t="str">
        <f>IF(I20="Rob","Robusta",IF(I20="Exc","Excelsa",IF(I20="Ara","Arabica",IF(I20="Lib","Liberica",""))))</f>
        <v>Robusta</v>
      </c>
      <c r="O20" t="str">
        <f t="shared" si="0"/>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9">
        <f>INDEX(products!$A$1:$G$49,MATCH(orders!$D21,products!$A$1:$A$49,0),MATCH(orders!K$1,products!$A$1:$G$1,0))</f>
        <v>0.2</v>
      </c>
      <c r="L21" s="5">
        <f>INDEX(products!$A$1:$G$49,MATCH(orders!$D21,products!$A$1:$A$49,0),MATCH(orders!L$1,products!$A$1:$G$1,0))</f>
        <v>3.375</v>
      </c>
      <c r="M21">
        <f>L21*E21</f>
        <v>16.875</v>
      </c>
      <c r="N21" t="str">
        <f>IF(I21="Rob","Robusta",IF(I21="Exc","Excelsa",IF(I21="Ara","Arabica",IF(I21="Lib","Liberica",""))))</f>
        <v>Arabica</v>
      </c>
      <c r="O21" t="str">
        <f t="shared" si="0"/>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9">
        <f>INDEX(products!$A$1:$G$49,MATCH(orders!$D22,products!$A$1:$A$49,0),MATCH(orders!K$1,products!$A$1:$G$1,0))</f>
        <v>0.2</v>
      </c>
      <c r="L22" s="5">
        <f>INDEX(products!$A$1:$G$49,MATCH(orders!$D22,products!$A$1:$A$49,0),MATCH(orders!L$1,products!$A$1:$G$1,0))</f>
        <v>3.645</v>
      </c>
      <c r="M22">
        <f>L22*E22</f>
        <v>14.58</v>
      </c>
      <c r="N22" t="str">
        <f>IF(I22="Rob","Robusta",IF(I22="Exc","Excelsa",IF(I22="Ara","Arabica",IF(I22="Lib","Liberica",""))))</f>
        <v>Excelsa</v>
      </c>
      <c r="O22" t="str">
        <f t="shared" si="0"/>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9">
        <f>INDEX(products!$A$1:$G$49,MATCH(orders!$D23,products!$A$1:$A$49,0),MATCH(orders!K$1,products!$A$1:$G$1,0))</f>
        <v>0.2</v>
      </c>
      <c r="L23" s="5">
        <f>INDEX(products!$A$1:$G$49,MATCH(orders!$D23,products!$A$1:$A$49,0),MATCH(orders!L$1,products!$A$1:$G$1,0))</f>
        <v>2.9849999999999999</v>
      </c>
      <c r="M23">
        <f>L23*E23</f>
        <v>17.91</v>
      </c>
      <c r="N23" t="str">
        <f>IF(I23="Rob","Robusta",IF(I23="Exc","Excelsa",IF(I23="Ara","Arabica",IF(I23="Lib","Liberica",""))))</f>
        <v>Arabica</v>
      </c>
      <c r="O23" t="str">
        <f t="shared" si="0"/>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9">
        <f>INDEX(products!$A$1:$G$49,MATCH(orders!$D24,products!$A$1:$A$49,0),MATCH(orders!K$1,products!$A$1:$G$1,0))</f>
        <v>2.5</v>
      </c>
      <c r="L24" s="5">
        <f>INDEX(products!$A$1:$G$49,MATCH(orders!$D24,products!$A$1:$A$49,0),MATCH(orders!L$1,products!$A$1:$G$1,0))</f>
        <v>22.884999999999998</v>
      </c>
      <c r="M24">
        <f>L24*E24</f>
        <v>91.539999999999992</v>
      </c>
      <c r="N24" t="str">
        <f>IF(I24="Rob","Robusta",IF(I24="Exc","Excelsa",IF(I24="Ara","Arabica",IF(I24="Lib","Liberica",""))))</f>
        <v>Robusta</v>
      </c>
      <c r="O24" t="str">
        <f t="shared" si="0"/>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9">
        <f>INDEX(products!$A$1:$G$49,MATCH(orders!$D25,products!$A$1:$A$49,0),MATCH(orders!K$1,products!$A$1:$G$1,0))</f>
        <v>0.2</v>
      </c>
      <c r="L25" s="5">
        <f>INDEX(products!$A$1:$G$49,MATCH(orders!$D25,products!$A$1:$A$49,0),MATCH(orders!L$1,products!$A$1:$G$1,0))</f>
        <v>2.9849999999999999</v>
      </c>
      <c r="M25">
        <f>L25*E25</f>
        <v>11.94</v>
      </c>
      <c r="N25" t="str">
        <f>IF(I25="Rob","Robusta",IF(I25="Exc","Excelsa",IF(I25="Ara","Arabica",IF(I25="Lib","Liberica",""))))</f>
        <v>Arabica</v>
      </c>
      <c r="O25" t="str">
        <f t="shared" si="0"/>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9">
        <f>INDEX(products!$A$1:$G$49,MATCH(orders!$D26,products!$A$1:$A$49,0),MATCH(orders!K$1,products!$A$1:$G$1,0))</f>
        <v>1</v>
      </c>
      <c r="L26" s="5">
        <f>INDEX(products!$A$1:$G$49,MATCH(orders!$D26,products!$A$1:$A$49,0),MATCH(orders!L$1,products!$A$1:$G$1,0))</f>
        <v>11.25</v>
      </c>
      <c r="M26">
        <f>L26*E26</f>
        <v>11.25</v>
      </c>
      <c r="N26" t="str">
        <f>IF(I26="Rob","Robusta",IF(I26="Exc","Excelsa",IF(I26="Ara","Arabica",IF(I26="Lib","Liberica",""))))</f>
        <v>Arabica</v>
      </c>
      <c r="O26" t="str">
        <f t="shared" si="0"/>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f>_xlfn.XLOOKUP(C27,customers!$A$1:$A$1001,customers!$C$1:$C$1001,,0)</f>
        <v>0</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9">
        <f>INDEX(products!$A$1:$G$49,MATCH(orders!$D27,products!$A$1:$A$49,0),MATCH(orders!K$1,products!$A$1:$G$1,0))</f>
        <v>0.2</v>
      </c>
      <c r="L27" s="5">
        <f>INDEX(products!$A$1:$G$49,MATCH(orders!$D27,products!$A$1:$A$49,0),MATCH(orders!L$1,products!$A$1:$G$1,0))</f>
        <v>4.125</v>
      </c>
      <c r="M27">
        <f>L27*E27</f>
        <v>12.375</v>
      </c>
      <c r="N27" t="str">
        <f>IF(I27="Rob","Robusta",IF(I27="Exc","Excelsa",IF(I27="Ara","Arabica",IF(I27="Lib","Liberica",""))))</f>
        <v>Excelsa</v>
      </c>
      <c r="O27" t="str">
        <f t="shared" si="0"/>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9">
        <f>INDEX(products!$A$1:$G$49,MATCH(orders!$D28,products!$A$1:$A$49,0),MATCH(orders!K$1,products!$A$1:$G$1,0))</f>
        <v>0.5</v>
      </c>
      <c r="L28" s="5">
        <f>INDEX(products!$A$1:$G$49,MATCH(orders!$D28,products!$A$1:$A$49,0),MATCH(orders!L$1,products!$A$1:$G$1,0))</f>
        <v>6.75</v>
      </c>
      <c r="M28">
        <f>L28*E28</f>
        <v>27</v>
      </c>
      <c r="N28" t="str">
        <f>IF(I28="Rob","Robusta",IF(I28="Exc","Excelsa",IF(I28="Ara","Arabica",IF(I28="Lib","Liberica",""))))</f>
        <v>Arabica</v>
      </c>
      <c r="O28" t="str">
        <f t="shared" si="0"/>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9">
        <f>INDEX(products!$A$1:$G$49,MATCH(orders!$D29,products!$A$1:$A$49,0),MATCH(orders!K$1,products!$A$1:$G$1,0))</f>
        <v>0.2</v>
      </c>
      <c r="L29" s="5">
        <f>INDEX(products!$A$1:$G$49,MATCH(orders!$D29,products!$A$1:$A$49,0),MATCH(orders!L$1,products!$A$1:$G$1,0))</f>
        <v>3.375</v>
      </c>
      <c r="M29">
        <f>L29*E29</f>
        <v>16.875</v>
      </c>
      <c r="N29" t="str">
        <f>IF(I29="Rob","Robusta",IF(I29="Exc","Excelsa",IF(I29="Ara","Arabica",IF(I29="Lib","Liberica",""))))</f>
        <v>Arabica</v>
      </c>
      <c r="O29" t="str">
        <f t="shared" si="0"/>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9">
        <f>INDEX(products!$A$1:$G$49,MATCH(orders!$D30,products!$A$1:$A$49,0),MATCH(orders!K$1,products!$A$1:$G$1,0))</f>
        <v>0.5</v>
      </c>
      <c r="L30" s="5">
        <f>INDEX(products!$A$1:$G$49,MATCH(orders!$D30,products!$A$1:$A$49,0),MATCH(orders!L$1,products!$A$1:$G$1,0))</f>
        <v>5.97</v>
      </c>
      <c r="M30">
        <f>L30*E30</f>
        <v>17.91</v>
      </c>
      <c r="N30" t="str">
        <f>IF(I30="Rob","Robusta",IF(I30="Exc","Excelsa",IF(I30="Ara","Arabica",IF(I30="Lib","Liberica",""))))</f>
        <v>Arabica</v>
      </c>
      <c r="O30" t="str">
        <f t="shared" si="0"/>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9">
        <f>INDEX(products!$A$1:$G$49,MATCH(orders!$D31,products!$A$1:$A$49,0),MATCH(orders!K$1,products!$A$1:$G$1,0))</f>
        <v>1</v>
      </c>
      <c r="L31" s="5">
        <f>INDEX(products!$A$1:$G$49,MATCH(orders!$D31,products!$A$1:$A$49,0),MATCH(orders!L$1,products!$A$1:$G$1,0))</f>
        <v>9.9499999999999993</v>
      </c>
      <c r="M31">
        <f>L31*E31</f>
        <v>39.799999999999997</v>
      </c>
      <c r="N31" t="str">
        <f>IF(I31="Rob","Robusta",IF(I31="Exc","Excelsa",IF(I31="Ara","Arabica",IF(I31="Lib","Liberica",""))))</f>
        <v>Arabica</v>
      </c>
      <c r="O31" t="str">
        <f t="shared" si="0"/>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f>_xlfn.XLOOKUP(C32,customers!$A$1:$A$1001,customers!$C$1:$C$1001,,0)</f>
        <v>0</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9">
        <f>INDEX(products!$A$1:$G$49,MATCH(orders!$D32,products!$A$1:$A$49,0),MATCH(orders!K$1,products!$A$1:$G$1,0))</f>
        <v>0.2</v>
      </c>
      <c r="L32" s="5">
        <f>INDEX(products!$A$1:$G$49,MATCH(orders!$D32,products!$A$1:$A$49,0),MATCH(orders!L$1,products!$A$1:$G$1,0))</f>
        <v>4.3650000000000002</v>
      </c>
      <c r="M32">
        <f>L32*E32</f>
        <v>21.825000000000003</v>
      </c>
      <c r="N32" t="str">
        <f>IF(I32="Rob","Robusta",IF(I32="Exc","Excelsa",IF(I32="Ara","Arabica",IF(I32="Lib","Liberica",""))))</f>
        <v>Liberica</v>
      </c>
      <c r="O32" t="str">
        <f t="shared" si="0"/>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f>_xlfn.XLOOKUP(C33,customers!$A$1:$A$1001,customers!$C$1:$C$1001,,0)</f>
        <v>0</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9">
        <f>INDEX(products!$A$1:$G$49,MATCH(orders!$D33,products!$A$1:$A$49,0),MATCH(orders!K$1,products!$A$1:$G$1,0))</f>
        <v>0.5</v>
      </c>
      <c r="L33" s="5">
        <f>INDEX(products!$A$1:$G$49,MATCH(orders!$D33,products!$A$1:$A$49,0),MATCH(orders!L$1,products!$A$1:$G$1,0))</f>
        <v>5.97</v>
      </c>
      <c r="M33">
        <f>L33*E33</f>
        <v>35.82</v>
      </c>
      <c r="N33" t="str">
        <f>IF(I33="Rob","Robusta",IF(I33="Exc","Excelsa",IF(I33="Ara","Arabica",IF(I33="Lib","Liberica",""))))</f>
        <v>Arabica</v>
      </c>
      <c r="O33" t="str">
        <f t="shared" si="0"/>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f>_xlfn.XLOOKUP(C34,customers!$A$1:$A$1001,customers!$C$1:$C$1001,,0)</f>
        <v>0</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9">
        <f>INDEX(products!$A$1:$G$49,MATCH(orders!$D34,products!$A$1:$A$49,0),MATCH(orders!K$1,products!$A$1:$G$1,0))</f>
        <v>0.5</v>
      </c>
      <c r="L34" s="5">
        <f>INDEX(products!$A$1:$G$49,MATCH(orders!$D34,products!$A$1:$A$49,0),MATCH(orders!L$1,products!$A$1:$G$1,0))</f>
        <v>8.73</v>
      </c>
      <c r="M34">
        <f>L34*E34</f>
        <v>52.38</v>
      </c>
      <c r="N34" t="str">
        <f>IF(I34="Rob","Robusta",IF(I34="Exc","Excelsa",IF(I34="Ara","Arabica",IF(I34="Lib","Liberica",""))))</f>
        <v>Liberica</v>
      </c>
      <c r="O34" t="str">
        <f t="shared" si="0"/>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9">
        <f>INDEX(products!$A$1:$G$49,MATCH(orders!$D35,products!$A$1:$A$49,0),MATCH(orders!K$1,products!$A$1:$G$1,0))</f>
        <v>0.2</v>
      </c>
      <c r="L35" s="5">
        <f>INDEX(products!$A$1:$G$49,MATCH(orders!$D35,products!$A$1:$A$49,0),MATCH(orders!L$1,products!$A$1:$G$1,0))</f>
        <v>4.7549999999999999</v>
      </c>
      <c r="M35">
        <f>L35*E35</f>
        <v>23.774999999999999</v>
      </c>
      <c r="N35" t="str">
        <f>IF(I35="Rob","Robusta",IF(I35="Exc","Excelsa",IF(I35="Ara","Arabica",IF(I35="Lib","Liberica",""))))</f>
        <v>Liberica</v>
      </c>
      <c r="O35" t="str">
        <f t="shared" si="0"/>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9">
        <f>INDEX(products!$A$1:$G$49,MATCH(orders!$D36,products!$A$1:$A$49,0),MATCH(orders!K$1,products!$A$1:$G$1,0))</f>
        <v>0.5</v>
      </c>
      <c r="L36" s="5">
        <f>INDEX(products!$A$1:$G$49,MATCH(orders!$D36,products!$A$1:$A$49,0),MATCH(orders!L$1,products!$A$1:$G$1,0))</f>
        <v>9.51</v>
      </c>
      <c r="M36">
        <f>L36*E36</f>
        <v>57.06</v>
      </c>
      <c r="N36" t="str">
        <f>IF(I36="Rob","Robusta",IF(I36="Exc","Excelsa",IF(I36="Ara","Arabica",IF(I36="Lib","Liberica",""))))</f>
        <v>Liberica</v>
      </c>
      <c r="O36" t="str">
        <f t="shared" si="0"/>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9">
        <f>INDEX(products!$A$1:$G$49,MATCH(orders!$D37,products!$A$1:$A$49,0),MATCH(orders!K$1,products!$A$1:$G$1,0))</f>
        <v>0.5</v>
      </c>
      <c r="L37" s="5">
        <f>INDEX(products!$A$1:$G$49,MATCH(orders!$D37,products!$A$1:$A$49,0),MATCH(orders!L$1,products!$A$1:$G$1,0))</f>
        <v>5.97</v>
      </c>
      <c r="M37">
        <f>L37*E37</f>
        <v>35.82</v>
      </c>
      <c r="N37" t="str">
        <f>IF(I37="Rob","Robusta",IF(I37="Exc","Excelsa",IF(I37="Ara","Arabica",IF(I37="Lib","Liberica",""))))</f>
        <v>Arabica</v>
      </c>
      <c r="O37" t="str">
        <f t="shared" si="0"/>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9">
        <f>INDEX(products!$A$1:$G$49,MATCH(orders!$D38,products!$A$1:$A$49,0),MATCH(orders!K$1,products!$A$1:$G$1,0))</f>
        <v>0.2</v>
      </c>
      <c r="L38" s="5">
        <f>INDEX(products!$A$1:$G$49,MATCH(orders!$D38,products!$A$1:$A$49,0),MATCH(orders!L$1,products!$A$1:$G$1,0))</f>
        <v>4.3650000000000002</v>
      </c>
      <c r="M38">
        <f>L38*E38</f>
        <v>8.73</v>
      </c>
      <c r="N38" t="str">
        <f>IF(I38="Rob","Robusta",IF(I38="Exc","Excelsa",IF(I38="Ara","Arabica",IF(I38="Lib","Liberica",""))))</f>
        <v>Liberica</v>
      </c>
      <c r="O38" t="str">
        <f t="shared" si="0"/>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9">
        <f>INDEX(products!$A$1:$G$49,MATCH(orders!$D39,products!$A$1:$A$49,0),MATCH(orders!K$1,products!$A$1:$G$1,0))</f>
        <v>0.5</v>
      </c>
      <c r="L39" s="5">
        <f>INDEX(products!$A$1:$G$49,MATCH(orders!$D39,products!$A$1:$A$49,0),MATCH(orders!L$1,products!$A$1:$G$1,0))</f>
        <v>9.51</v>
      </c>
      <c r="M39">
        <f>L39*E39</f>
        <v>28.53</v>
      </c>
      <c r="N39" t="str">
        <f>IF(I39="Rob","Robusta",IF(I39="Exc","Excelsa",IF(I39="Ara","Arabica",IF(I39="Lib","Liberica",""))))</f>
        <v>Liberica</v>
      </c>
      <c r="O39" t="str">
        <f t="shared" si="0"/>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9">
        <f>INDEX(products!$A$1:$G$49,MATCH(orders!$D40,products!$A$1:$A$49,0),MATCH(orders!K$1,products!$A$1:$G$1,0))</f>
        <v>2.5</v>
      </c>
      <c r="L40" s="5">
        <f>INDEX(products!$A$1:$G$49,MATCH(orders!$D40,products!$A$1:$A$49,0),MATCH(orders!L$1,products!$A$1:$G$1,0))</f>
        <v>22.884999999999998</v>
      </c>
      <c r="M40">
        <f>L40*E40</f>
        <v>114.42499999999998</v>
      </c>
      <c r="N40" t="str">
        <f>IF(I40="Rob","Robusta",IF(I40="Exc","Excelsa",IF(I40="Ara","Arabica",IF(I40="Lib","Liberica",""))))</f>
        <v>Robusta</v>
      </c>
      <c r="O40" t="str">
        <f t="shared" si="0"/>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f>_xlfn.XLOOKUP(C41,customers!$A$1:$A$1001,customers!$C$1:$C$1001,,0)</f>
        <v>0</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9">
        <f>INDEX(products!$A$1:$G$49,MATCH(orders!$D41,products!$A$1:$A$49,0),MATCH(orders!K$1,products!$A$1:$G$1,0))</f>
        <v>1</v>
      </c>
      <c r="L41" s="5">
        <f>INDEX(products!$A$1:$G$49,MATCH(orders!$D41,products!$A$1:$A$49,0),MATCH(orders!L$1,products!$A$1:$G$1,0))</f>
        <v>9.9499999999999993</v>
      </c>
      <c r="M41">
        <f>L41*E41</f>
        <v>59.699999999999996</v>
      </c>
      <c r="N41" t="str">
        <f>IF(I41="Rob","Robusta",IF(I41="Exc","Excelsa",IF(I41="Ara","Arabica",IF(I41="Lib","Liberica",""))))</f>
        <v>Robusta</v>
      </c>
      <c r="O41" t="str">
        <f t="shared" si="0"/>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f>_xlfn.XLOOKUP(C42,customers!$A$1:$A$1001,customers!$C$1:$C$1001,,0)</f>
        <v>0</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9">
        <f>INDEX(products!$A$1:$G$49,MATCH(orders!$D42,products!$A$1:$A$49,0),MATCH(orders!K$1,products!$A$1:$G$1,0))</f>
        <v>1</v>
      </c>
      <c r="L42" s="5">
        <f>INDEX(products!$A$1:$G$49,MATCH(orders!$D42,products!$A$1:$A$49,0),MATCH(orders!L$1,products!$A$1:$G$1,0))</f>
        <v>14.55</v>
      </c>
      <c r="M42">
        <f>L42*E42</f>
        <v>43.650000000000006</v>
      </c>
      <c r="N42" t="str">
        <f>IF(I42="Rob","Robusta",IF(I42="Exc","Excelsa",IF(I42="Ara","Arabica",IF(I42="Lib","Liberica",""))))</f>
        <v>Liberica</v>
      </c>
      <c r="O42" t="str">
        <f t="shared" si="0"/>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9">
        <f>INDEX(products!$A$1:$G$49,MATCH(orders!$D43,products!$A$1:$A$49,0),MATCH(orders!K$1,products!$A$1:$G$1,0))</f>
        <v>0.2</v>
      </c>
      <c r="L43" s="5">
        <f>INDEX(products!$A$1:$G$49,MATCH(orders!$D43,products!$A$1:$A$49,0),MATCH(orders!L$1,products!$A$1:$G$1,0))</f>
        <v>3.645</v>
      </c>
      <c r="M43">
        <f>L43*E43</f>
        <v>7.29</v>
      </c>
      <c r="N43" t="str">
        <f>IF(I43="Rob","Robusta",IF(I43="Exc","Excelsa",IF(I43="Ara","Arabica",IF(I43="Lib","Liberica",""))))</f>
        <v>Excelsa</v>
      </c>
      <c r="O43" t="str">
        <f t="shared" si="0"/>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9">
        <f>INDEX(products!$A$1:$G$49,MATCH(orders!$D44,products!$A$1:$A$49,0),MATCH(orders!K$1,products!$A$1:$G$1,0))</f>
        <v>0.2</v>
      </c>
      <c r="L44" s="5">
        <f>INDEX(products!$A$1:$G$49,MATCH(orders!$D44,products!$A$1:$A$49,0),MATCH(orders!L$1,products!$A$1:$G$1,0))</f>
        <v>2.6849999999999996</v>
      </c>
      <c r="M44">
        <f>L44*E44</f>
        <v>8.0549999999999997</v>
      </c>
      <c r="N44" t="str">
        <f>IF(I44="Rob","Robusta",IF(I44="Exc","Excelsa",IF(I44="Ara","Arabica",IF(I44="Lib","Liberica",""))))</f>
        <v>Robusta</v>
      </c>
      <c r="O44" t="str">
        <f t="shared" si="0"/>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f>_xlfn.XLOOKUP(C45,customers!$A$1:$A$1001,customers!$C$1:$C$1001,,0)</f>
        <v>0</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9">
        <f>INDEX(products!$A$1:$G$49,MATCH(orders!$D45,products!$A$1:$A$49,0),MATCH(orders!K$1,products!$A$1:$G$1,0))</f>
        <v>2.5</v>
      </c>
      <c r="L45" s="5">
        <f>INDEX(products!$A$1:$G$49,MATCH(orders!$D45,products!$A$1:$A$49,0),MATCH(orders!L$1,products!$A$1:$G$1,0))</f>
        <v>36.454999999999998</v>
      </c>
      <c r="M45">
        <f>L45*E45</f>
        <v>72.91</v>
      </c>
      <c r="N45" t="str">
        <f>IF(I45="Rob","Robusta",IF(I45="Exc","Excelsa",IF(I45="Ara","Arabica",IF(I45="Lib","Liberica",""))))</f>
        <v>Liberica</v>
      </c>
      <c r="O45" t="str">
        <f t="shared" si="0"/>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9">
        <f>INDEX(products!$A$1:$G$49,MATCH(orders!$D46,products!$A$1:$A$49,0),MATCH(orders!K$1,products!$A$1:$G$1,0))</f>
        <v>0.5</v>
      </c>
      <c r="L46" s="5">
        <f>INDEX(products!$A$1:$G$49,MATCH(orders!$D46,products!$A$1:$A$49,0),MATCH(orders!L$1,products!$A$1:$G$1,0))</f>
        <v>8.25</v>
      </c>
      <c r="M46">
        <f>L46*E46</f>
        <v>16.5</v>
      </c>
      <c r="N46" t="str">
        <f>IF(I46="Rob","Robusta",IF(I46="Exc","Excelsa",IF(I46="Ara","Arabica",IF(I46="Lib","Liberica",""))))</f>
        <v>Excelsa</v>
      </c>
      <c r="O46" t="str">
        <f t="shared" si="0"/>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9">
        <f>INDEX(products!$A$1:$G$49,MATCH(orders!$D47,products!$A$1:$A$49,0),MATCH(orders!K$1,products!$A$1:$G$1,0))</f>
        <v>2.5</v>
      </c>
      <c r="L47" s="5">
        <f>INDEX(products!$A$1:$G$49,MATCH(orders!$D47,products!$A$1:$A$49,0),MATCH(orders!L$1,products!$A$1:$G$1,0))</f>
        <v>29.784999999999997</v>
      </c>
      <c r="M47">
        <f>L47*E47</f>
        <v>178.70999999999998</v>
      </c>
      <c r="N47" t="str">
        <f>IF(I47="Rob","Robusta",IF(I47="Exc","Excelsa",IF(I47="Ara","Arabica",IF(I47="Lib","Liberica",""))))</f>
        <v>Liberica</v>
      </c>
      <c r="O47" t="str">
        <f t="shared" si="0"/>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f>_xlfn.XLOOKUP(C48,customers!$A$1:$A$1001,customers!$C$1:$C$1001,,0)</f>
        <v>0</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9">
        <f>INDEX(products!$A$1:$G$49,MATCH(orders!$D48,products!$A$1:$A$49,0),MATCH(orders!K$1,products!$A$1:$G$1,0))</f>
        <v>2.5</v>
      </c>
      <c r="L48" s="5">
        <f>INDEX(products!$A$1:$G$49,MATCH(orders!$D48,products!$A$1:$A$49,0),MATCH(orders!L$1,products!$A$1:$G$1,0))</f>
        <v>31.624999999999996</v>
      </c>
      <c r="M48">
        <f>L48*E48</f>
        <v>63.249999999999993</v>
      </c>
      <c r="N48" t="str">
        <f>IF(I48="Rob","Robusta",IF(I48="Exc","Excelsa",IF(I48="Ara","Arabica",IF(I48="Lib","Liberica",""))))</f>
        <v>Excelsa</v>
      </c>
      <c r="O48" t="str">
        <f t="shared" si="0"/>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9">
        <f>INDEX(products!$A$1:$G$49,MATCH(orders!$D49,products!$A$1:$A$49,0),MATCH(orders!K$1,products!$A$1:$G$1,0))</f>
        <v>0.2</v>
      </c>
      <c r="L49" s="5">
        <f>INDEX(products!$A$1:$G$49,MATCH(orders!$D49,products!$A$1:$A$49,0),MATCH(orders!L$1,products!$A$1:$G$1,0))</f>
        <v>3.8849999999999998</v>
      </c>
      <c r="M49">
        <f>L49*E49</f>
        <v>7.77</v>
      </c>
      <c r="N49" t="str">
        <f>IF(I49="Rob","Robusta",IF(I49="Exc","Excelsa",IF(I49="Ara","Arabica",IF(I49="Lib","Liberica",""))))</f>
        <v>Arabica</v>
      </c>
      <c r="O49" t="str">
        <f t="shared" si="0"/>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9">
        <f>INDEX(products!$A$1:$G$49,MATCH(orders!$D50,products!$A$1:$A$49,0),MATCH(orders!K$1,products!$A$1:$G$1,0))</f>
        <v>2.5</v>
      </c>
      <c r="L50" s="5">
        <f>INDEX(products!$A$1:$G$49,MATCH(orders!$D50,products!$A$1:$A$49,0),MATCH(orders!L$1,products!$A$1:$G$1,0))</f>
        <v>22.884999999999998</v>
      </c>
      <c r="M50">
        <f>L50*E50</f>
        <v>91.539999999999992</v>
      </c>
      <c r="N50" t="str">
        <f>IF(I50="Rob","Robusta",IF(I50="Exc","Excelsa",IF(I50="Ara","Arabica",IF(I50="Lib","Liberica",""))))</f>
        <v>Arabica</v>
      </c>
      <c r="O50" t="str">
        <f t="shared" si="0"/>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9">
        <f>INDEX(products!$A$1:$G$49,MATCH(orders!$D51,products!$A$1:$A$49,0),MATCH(orders!K$1,products!$A$1:$G$1,0))</f>
        <v>1</v>
      </c>
      <c r="L51" s="5">
        <f>INDEX(products!$A$1:$G$49,MATCH(orders!$D51,products!$A$1:$A$49,0),MATCH(orders!L$1,products!$A$1:$G$1,0))</f>
        <v>12.95</v>
      </c>
      <c r="M51">
        <f>L51*E51</f>
        <v>38.849999999999994</v>
      </c>
      <c r="N51" t="str">
        <f>IF(I51="Rob","Robusta",IF(I51="Exc","Excelsa",IF(I51="Ara","Arabica",IF(I51="Lib","Liberica",""))))</f>
        <v>Arabica</v>
      </c>
      <c r="O51" t="str">
        <f t="shared" si="0"/>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9">
        <f>INDEX(products!$A$1:$G$49,MATCH(orders!$D52,products!$A$1:$A$49,0),MATCH(orders!K$1,products!$A$1:$G$1,0))</f>
        <v>0.5</v>
      </c>
      <c r="L52" s="5">
        <f>INDEX(products!$A$1:$G$49,MATCH(orders!$D52,products!$A$1:$A$49,0),MATCH(orders!L$1,products!$A$1:$G$1,0))</f>
        <v>7.77</v>
      </c>
      <c r="M52">
        <f>L52*E52</f>
        <v>15.54</v>
      </c>
      <c r="N52" t="str">
        <f>IF(I52="Rob","Robusta",IF(I52="Exc","Excelsa",IF(I52="Ara","Arabica",IF(I52="Lib","Liberica",""))))</f>
        <v>Liberica</v>
      </c>
      <c r="O52" t="str">
        <f t="shared" si="0"/>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9">
        <f>INDEX(products!$A$1:$G$49,MATCH(orders!$D53,products!$A$1:$A$49,0),MATCH(orders!K$1,products!$A$1:$G$1,0))</f>
        <v>2.5</v>
      </c>
      <c r="L53" s="5">
        <f>INDEX(products!$A$1:$G$49,MATCH(orders!$D53,products!$A$1:$A$49,0),MATCH(orders!L$1,products!$A$1:$G$1,0))</f>
        <v>36.454999999999998</v>
      </c>
      <c r="M53">
        <f>L53*E53</f>
        <v>145.82</v>
      </c>
      <c r="N53" t="str">
        <f>IF(I53="Rob","Robusta",IF(I53="Exc","Excelsa",IF(I53="Ara","Arabica",IF(I53="Lib","Liberica",""))))</f>
        <v>Liberica</v>
      </c>
      <c r="O53" t="str">
        <f t="shared" si="0"/>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9">
        <f>INDEX(products!$A$1:$G$49,MATCH(orders!$D54,products!$A$1:$A$49,0),MATCH(orders!K$1,products!$A$1:$G$1,0))</f>
        <v>0.5</v>
      </c>
      <c r="L54" s="5">
        <f>INDEX(products!$A$1:$G$49,MATCH(orders!$D54,products!$A$1:$A$49,0),MATCH(orders!L$1,products!$A$1:$G$1,0))</f>
        <v>5.97</v>
      </c>
      <c r="M54">
        <f>L54*E54</f>
        <v>29.849999999999998</v>
      </c>
      <c r="N54" t="str">
        <f>IF(I54="Rob","Robusta",IF(I54="Exc","Excelsa",IF(I54="Ara","Arabica",IF(I54="Lib","Liberica",""))))</f>
        <v>Robusta</v>
      </c>
      <c r="O54" t="str">
        <f t="shared" si="0"/>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9">
        <f>INDEX(products!$A$1:$G$49,MATCH(orders!$D55,products!$A$1:$A$49,0),MATCH(orders!K$1,products!$A$1:$G$1,0))</f>
        <v>2.5</v>
      </c>
      <c r="L55" s="5">
        <f>INDEX(products!$A$1:$G$49,MATCH(orders!$D55,products!$A$1:$A$49,0),MATCH(orders!L$1,products!$A$1:$G$1,0))</f>
        <v>36.454999999999998</v>
      </c>
      <c r="M55">
        <f>L55*E55</f>
        <v>72.91</v>
      </c>
      <c r="N55" t="str">
        <f>IF(I55="Rob","Robusta",IF(I55="Exc","Excelsa",IF(I55="Ara","Arabica",IF(I55="Lib","Liberica",""))))</f>
        <v>Liberica</v>
      </c>
      <c r="O55" t="str">
        <f t="shared" si="0"/>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9">
        <f>INDEX(products!$A$1:$G$49,MATCH(orders!$D56,products!$A$1:$A$49,0),MATCH(orders!K$1,products!$A$1:$G$1,0))</f>
        <v>1</v>
      </c>
      <c r="L56" s="5">
        <f>INDEX(products!$A$1:$G$49,MATCH(orders!$D56,products!$A$1:$A$49,0),MATCH(orders!L$1,products!$A$1:$G$1,0))</f>
        <v>14.55</v>
      </c>
      <c r="M56">
        <f>L56*E56</f>
        <v>72.75</v>
      </c>
      <c r="N56" t="str">
        <f>IF(I56="Rob","Robusta",IF(I56="Exc","Excelsa",IF(I56="Ara","Arabica",IF(I56="Lib","Liberica",""))))</f>
        <v>Liberica</v>
      </c>
      <c r="O56" t="str">
        <f t="shared" si="0"/>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f>_xlfn.XLOOKUP(C57,customers!$A$1:$A$1001,customers!$C$1:$C$1001,,0)</f>
        <v>0</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9">
        <f>INDEX(products!$A$1:$G$49,MATCH(orders!$D57,products!$A$1:$A$49,0),MATCH(orders!K$1,products!$A$1:$G$1,0))</f>
        <v>1</v>
      </c>
      <c r="L57" s="5">
        <f>INDEX(products!$A$1:$G$49,MATCH(orders!$D57,products!$A$1:$A$49,0),MATCH(orders!L$1,products!$A$1:$G$1,0))</f>
        <v>15.85</v>
      </c>
      <c r="M57">
        <f>L57*E57</f>
        <v>47.55</v>
      </c>
      <c r="N57" t="str">
        <f>IF(I57="Rob","Robusta",IF(I57="Exc","Excelsa",IF(I57="Ara","Arabica",IF(I57="Lib","Liberica",""))))</f>
        <v>Liberica</v>
      </c>
      <c r="O57" t="str">
        <f t="shared" si="0"/>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9">
        <f>INDEX(products!$A$1:$G$49,MATCH(orders!$D58,products!$A$1:$A$49,0),MATCH(orders!K$1,products!$A$1:$G$1,0))</f>
        <v>0.2</v>
      </c>
      <c r="L58" s="5">
        <f>INDEX(products!$A$1:$G$49,MATCH(orders!$D58,products!$A$1:$A$49,0),MATCH(orders!L$1,products!$A$1:$G$1,0))</f>
        <v>3.645</v>
      </c>
      <c r="M58">
        <f>L58*E58</f>
        <v>10.935</v>
      </c>
      <c r="N58" t="str">
        <f>IF(I58="Rob","Robusta",IF(I58="Exc","Excelsa",IF(I58="Ara","Arabica",IF(I58="Lib","Liberica",""))))</f>
        <v>Excelsa</v>
      </c>
      <c r="O58" t="str">
        <f t="shared" si="0"/>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9">
        <f>INDEX(products!$A$1:$G$49,MATCH(orders!$D59,products!$A$1:$A$49,0),MATCH(orders!K$1,products!$A$1:$G$1,0))</f>
        <v>1</v>
      </c>
      <c r="L59" s="5">
        <f>INDEX(products!$A$1:$G$49,MATCH(orders!$D59,products!$A$1:$A$49,0),MATCH(orders!L$1,products!$A$1:$G$1,0))</f>
        <v>14.85</v>
      </c>
      <c r="M59">
        <f>L59*E59</f>
        <v>59.4</v>
      </c>
      <c r="N59" t="str">
        <f>IF(I59="Rob","Robusta",IF(I59="Exc","Excelsa",IF(I59="Ara","Arabica",IF(I59="Lib","Liberica",""))))</f>
        <v>Excelsa</v>
      </c>
      <c r="O59" t="str">
        <f t="shared" si="0"/>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f>_xlfn.XLOOKUP(C60,customers!$A$1:$A$1001,customers!$C$1:$C$1001,,0)</f>
        <v>0</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9">
        <f>INDEX(products!$A$1:$G$49,MATCH(orders!$D60,products!$A$1:$A$49,0),MATCH(orders!K$1,products!$A$1:$G$1,0))</f>
        <v>2.5</v>
      </c>
      <c r="L60" s="5">
        <f>INDEX(products!$A$1:$G$49,MATCH(orders!$D60,products!$A$1:$A$49,0),MATCH(orders!L$1,products!$A$1:$G$1,0))</f>
        <v>29.784999999999997</v>
      </c>
      <c r="M60">
        <f>L60*E60</f>
        <v>89.35499999999999</v>
      </c>
      <c r="N60" t="str">
        <f>IF(I60="Rob","Robusta",IF(I60="Exc","Excelsa",IF(I60="Ara","Arabica",IF(I60="Lib","Liberica",""))))</f>
        <v>Liberica</v>
      </c>
      <c r="O60" t="str">
        <f t="shared" si="0"/>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9">
        <f>INDEX(products!$A$1:$G$49,MATCH(orders!$D61,products!$A$1:$A$49,0),MATCH(orders!K$1,products!$A$1:$G$1,0))</f>
        <v>0.5</v>
      </c>
      <c r="L61" s="5">
        <f>INDEX(products!$A$1:$G$49,MATCH(orders!$D61,products!$A$1:$A$49,0),MATCH(orders!L$1,products!$A$1:$G$1,0))</f>
        <v>8.73</v>
      </c>
      <c r="M61">
        <f>L61*E61</f>
        <v>26.19</v>
      </c>
      <c r="N61" t="str">
        <f>IF(I61="Rob","Robusta",IF(I61="Exc","Excelsa",IF(I61="Ara","Arabica",IF(I61="Lib","Liberica",""))))</f>
        <v>Liberica</v>
      </c>
      <c r="O61" t="str">
        <f t="shared" si="0"/>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9">
        <f>INDEX(products!$A$1:$G$49,MATCH(orders!$D62,products!$A$1:$A$49,0),MATCH(orders!K$1,products!$A$1:$G$1,0))</f>
        <v>2.5</v>
      </c>
      <c r="L62" s="5">
        <f>INDEX(products!$A$1:$G$49,MATCH(orders!$D62,products!$A$1:$A$49,0),MATCH(orders!L$1,products!$A$1:$G$1,0))</f>
        <v>22.884999999999998</v>
      </c>
      <c r="M62">
        <f>L62*E62</f>
        <v>114.42499999999998</v>
      </c>
      <c r="N62" t="str">
        <f>IF(I62="Rob","Robusta",IF(I62="Exc","Excelsa",IF(I62="Ara","Arabica",IF(I62="Lib","Liberica",""))))</f>
        <v>Arabica</v>
      </c>
      <c r="O62" t="str">
        <f t="shared" si="0"/>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f>_xlfn.XLOOKUP(C63,customers!$A$1:$A$1001,customers!$C$1:$C$1001,,0)</f>
        <v>0</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9">
        <f>INDEX(products!$A$1:$G$49,MATCH(orders!$D63,products!$A$1:$A$49,0),MATCH(orders!K$1,products!$A$1:$G$1,0))</f>
        <v>0.5</v>
      </c>
      <c r="L63" s="5">
        <f>INDEX(products!$A$1:$G$49,MATCH(orders!$D63,products!$A$1:$A$49,0),MATCH(orders!L$1,products!$A$1:$G$1,0))</f>
        <v>5.3699999999999992</v>
      </c>
      <c r="M63">
        <f>L63*E63</f>
        <v>26.849999999999994</v>
      </c>
      <c r="N63" t="str">
        <f>IF(I63="Rob","Robusta",IF(I63="Exc","Excelsa",IF(I63="Ara","Arabica",IF(I63="Lib","Liberica",""))))</f>
        <v>Robusta</v>
      </c>
      <c r="O63" t="str">
        <f t="shared" si="0"/>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f>_xlfn.XLOOKUP(C64,customers!$A$1:$A$1001,customers!$C$1:$C$1001,,0)</f>
        <v>0</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9">
        <f>INDEX(products!$A$1:$G$49,MATCH(orders!$D64,products!$A$1:$A$49,0),MATCH(orders!K$1,products!$A$1:$G$1,0))</f>
        <v>0.2</v>
      </c>
      <c r="L64" s="5">
        <f>INDEX(products!$A$1:$G$49,MATCH(orders!$D64,products!$A$1:$A$49,0),MATCH(orders!L$1,products!$A$1:$G$1,0))</f>
        <v>4.7549999999999999</v>
      </c>
      <c r="M64">
        <f>L64*E64</f>
        <v>23.774999999999999</v>
      </c>
      <c r="N64" t="str">
        <f>IF(I64="Rob","Robusta",IF(I64="Exc","Excelsa",IF(I64="Ara","Arabica",IF(I64="Lib","Liberica",""))))</f>
        <v>Liberica</v>
      </c>
      <c r="O64" t="str">
        <f t="shared" si="0"/>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9">
        <f>INDEX(products!$A$1:$G$49,MATCH(orders!$D65,products!$A$1:$A$49,0),MATCH(orders!K$1,products!$A$1:$G$1,0))</f>
        <v>0.5</v>
      </c>
      <c r="L65" s="5">
        <f>INDEX(products!$A$1:$G$49,MATCH(orders!$D65,products!$A$1:$A$49,0),MATCH(orders!L$1,products!$A$1:$G$1,0))</f>
        <v>6.75</v>
      </c>
      <c r="M65">
        <f>L65*E65</f>
        <v>6.75</v>
      </c>
      <c r="N65" t="str">
        <f>IF(I65="Rob","Robusta",IF(I65="Exc","Excelsa",IF(I65="Ara","Arabica",IF(I65="Lib","Liberica",""))))</f>
        <v>Arabica</v>
      </c>
      <c r="O65" t="str">
        <f t="shared" si="0"/>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f>_xlfn.XLOOKUP(C66,customers!$A$1:$A$1001,customers!$C$1:$C$1001,,0)</f>
        <v>0</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9">
        <f>INDEX(products!$A$1:$G$49,MATCH(orders!$D66,products!$A$1:$A$49,0),MATCH(orders!K$1,products!$A$1:$G$1,0))</f>
        <v>0.5</v>
      </c>
      <c r="L66" s="5">
        <f>INDEX(products!$A$1:$G$49,MATCH(orders!$D66,products!$A$1:$A$49,0),MATCH(orders!L$1,products!$A$1:$G$1,0))</f>
        <v>5.97</v>
      </c>
      <c r="M66">
        <f>L66*E66</f>
        <v>35.82</v>
      </c>
      <c r="N66" t="str">
        <f>IF(I66="Rob","Robusta",IF(I66="Exc","Excelsa",IF(I66="Ara","Arabica",IF(I66="Lib","Liberica",""))))</f>
        <v>Robusta</v>
      </c>
      <c r="O66" t="str">
        <f t="shared" si="0"/>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9">
        <f>INDEX(products!$A$1:$G$49,MATCH(orders!$D67,products!$A$1:$A$49,0),MATCH(orders!K$1,products!$A$1:$G$1,0))</f>
        <v>2.5</v>
      </c>
      <c r="L67" s="5">
        <f>INDEX(products!$A$1:$G$49,MATCH(orders!$D67,products!$A$1:$A$49,0),MATCH(orders!L$1,products!$A$1:$G$1,0))</f>
        <v>20.584999999999997</v>
      </c>
      <c r="M67">
        <f>L67*E67</f>
        <v>82.339999999999989</v>
      </c>
      <c r="N67" t="str">
        <f>IF(I67="Rob","Robusta",IF(I67="Exc","Excelsa",IF(I67="Ara","Arabica",IF(I67="Lib","Liberica",""))))</f>
        <v>Robusta</v>
      </c>
      <c r="O67" t="str">
        <f t="shared" ref="O67:O130" si="1">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9">
        <f>INDEX(products!$A$1:$G$49,MATCH(orders!$D68,products!$A$1:$A$49,0),MATCH(orders!K$1,products!$A$1:$G$1,0))</f>
        <v>0.5</v>
      </c>
      <c r="L68" s="5">
        <f>INDEX(products!$A$1:$G$49,MATCH(orders!$D68,products!$A$1:$A$49,0),MATCH(orders!L$1,products!$A$1:$G$1,0))</f>
        <v>7.169999999999999</v>
      </c>
      <c r="M68">
        <f>L68*E68</f>
        <v>7.169999999999999</v>
      </c>
      <c r="N68" t="str">
        <f>IF(I68="Rob","Robusta",IF(I68="Exc","Excelsa",IF(I68="Ara","Arabica",IF(I68="Lib","Liberica",""))))</f>
        <v>Robusta</v>
      </c>
      <c r="O68" t="str">
        <f t="shared" si="1"/>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9">
        <f>INDEX(products!$A$1:$G$49,MATCH(orders!$D69,products!$A$1:$A$49,0),MATCH(orders!K$1,products!$A$1:$G$1,0))</f>
        <v>0.2</v>
      </c>
      <c r="L69" s="5">
        <f>INDEX(products!$A$1:$G$49,MATCH(orders!$D69,products!$A$1:$A$49,0),MATCH(orders!L$1,products!$A$1:$G$1,0))</f>
        <v>4.7549999999999999</v>
      </c>
      <c r="M69">
        <f>L69*E69</f>
        <v>9.51</v>
      </c>
      <c r="N69" t="str">
        <f>IF(I69="Rob","Robusta",IF(I69="Exc","Excelsa",IF(I69="Ara","Arabica",IF(I69="Lib","Liberica",""))))</f>
        <v>Liberica</v>
      </c>
      <c r="O69" t="str">
        <f t="shared" si="1"/>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9">
        <f>INDEX(products!$A$1:$G$49,MATCH(orders!$D70,products!$A$1:$A$49,0),MATCH(orders!K$1,products!$A$1:$G$1,0))</f>
        <v>0.2</v>
      </c>
      <c r="L70" s="5">
        <f>INDEX(products!$A$1:$G$49,MATCH(orders!$D70,products!$A$1:$A$49,0),MATCH(orders!L$1,products!$A$1:$G$1,0))</f>
        <v>2.9849999999999999</v>
      </c>
      <c r="M70">
        <f>L70*E70</f>
        <v>2.9849999999999999</v>
      </c>
      <c r="N70" t="str">
        <f>IF(I70="Rob","Robusta",IF(I70="Exc","Excelsa",IF(I70="Ara","Arabica",IF(I70="Lib","Liberica",""))))</f>
        <v>Robusta</v>
      </c>
      <c r="O70" t="str">
        <f t="shared" si="1"/>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9">
        <f>INDEX(products!$A$1:$G$49,MATCH(orders!$D71,products!$A$1:$A$49,0),MATCH(orders!K$1,products!$A$1:$G$1,0))</f>
        <v>1</v>
      </c>
      <c r="L71" s="5">
        <f>INDEX(products!$A$1:$G$49,MATCH(orders!$D71,products!$A$1:$A$49,0),MATCH(orders!L$1,products!$A$1:$G$1,0))</f>
        <v>9.9499999999999993</v>
      </c>
      <c r="M71">
        <f>L71*E71</f>
        <v>59.699999999999996</v>
      </c>
      <c r="N71" t="str">
        <f>IF(I71="Rob","Robusta",IF(I71="Exc","Excelsa",IF(I71="Ara","Arabica",IF(I71="Lib","Liberica",""))))</f>
        <v>Robusta</v>
      </c>
      <c r="O71" t="str">
        <f t="shared" si="1"/>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9">
        <f>INDEX(products!$A$1:$G$49,MATCH(orders!$D72,products!$A$1:$A$49,0),MATCH(orders!K$1,products!$A$1:$G$1,0))</f>
        <v>2.5</v>
      </c>
      <c r="L72" s="5">
        <f>INDEX(products!$A$1:$G$49,MATCH(orders!$D72,products!$A$1:$A$49,0),MATCH(orders!L$1,products!$A$1:$G$1,0))</f>
        <v>34.154999999999994</v>
      </c>
      <c r="M72">
        <f>L72*E72</f>
        <v>136.61999999999998</v>
      </c>
      <c r="N72" t="str">
        <f>IF(I72="Rob","Robusta",IF(I72="Exc","Excelsa",IF(I72="Ara","Arabica",IF(I72="Lib","Liberica",""))))</f>
        <v>Excelsa</v>
      </c>
      <c r="O72" t="str">
        <f t="shared" si="1"/>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9">
        <f>INDEX(products!$A$1:$G$49,MATCH(orders!$D73,products!$A$1:$A$49,0),MATCH(orders!K$1,products!$A$1:$G$1,0))</f>
        <v>0.2</v>
      </c>
      <c r="L73" s="5">
        <f>INDEX(products!$A$1:$G$49,MATCH(orders!$D73,products!$A$1:$A$49,0),MATCH(orders!L$1,products!$A$1:$G$1,0))</f>
        <v>4.7549999999999999</v>
      </c>
      <c r="M73">
        <f>L73*E73</f>
        <v>9.51</v>
      </c>
      <c r="N73" t="str">
        <f>IF(I73="Rob","Robusta",IF(I73="Exc","Excelsa",IF(I73="Ara","Arabica",IF(I73="Lib","Liberica",""))))</f>
        <v>Liberica</v>
      </c>
      <c r="O73" t="str">
        <f t="shared" si="1"/>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f>_xlfn.XLOOKUP(C74,customers!$A$1:$A$1001,customers!$C$1:$C$1001,,0)</f>
        <v>0</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9">
        <f>INDEX(products!$A$1:$G$49,MATCH(orders!$D74,products!$A$1:$A$49,0),MATCH(orders!K$1,products!$A$1:$G$1,0))</f>
        <v>2.5</v>
      </c>
      <c r="L74" s="5">
        <f>INDEX(products!$A$1:$G$49,MATCH(orders!$D74,products!$A$1:$A$49,0),MATCH(orders!L$1,products!$A$1:$G$1,0))</f>
        <v>25.874999999999996</v>
      </c>
      <c r="M74">
        <f>L74*E74</f>
        <v>77.624999999999986</v>
      </c>
      <c r="N74" t="str">
        <f>IF(I74="Rob","Robusta",IF(I74="Exc","Excelsa",IF(I74="Ara","Arabica",IF(I74="Lib","Liberica",""))))</f>
        <v>Arabica</v>
      </c>
      <c r="O74" t="str">
        <f t="shared" si="1"/>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f>_xlfn.XLOOKUP(C75,customers!$A$1:$A$1001,customers!$C$1:$C$1001,,0)</f>
        <v>0</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9">
        <f>INDEX(products!$A$1:$G$49,MATCH(orders!$D75,products!$A$1:$A$49,0),MATCH(orders!K$1,products!$A$1:$G$1,0))</f>
        <v>0.2</v>
      </c>
      <c r="L75" s="5">
        <f>INDEX(products!$A$1:$G$49,MATCH(orders!$D75,products!$A$1:$A$49,0),MATCH(orders!L$1,products!$A$1:$G$1,0))</f>
        <v>4.3650000000000002</v>
      </c>
      <c r="M75">
        <f>L75*E75</f>
        <v>21.825000000000003</v>
      </c>
      <c r="N75" t="str">
        <f>IF(I75="Rob","Robusta",IF(I75="Exc","Excelsa",IF(I75="Ara","Arabica",IF(I75="Lib","Liberica",""))))</f>
        <v>Liberica</v>
      </c>
      <c r="O75" t="str">
        <f t="shared" si="1"/>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9">
        <f>INDEX(products!$A$1:$G$49,MATCH(orders!$D76,products!$A$1:$A$49,0),MATCH(orders!K$1,products!$A$1:$G$1,0))</f>
        <v>0.5</v>
      </c>
      <c r="L76" s="5">
        <f>INDEX(products!$A$1:$G$49,MATCH(orders!$D76,products!$A$1:$A$49,0),MATCH(orders!L$1,products!$A$1:$G$1,0))</f>
        <v>8.91</v>
      </c>
      <c r="M76">
        <f>L76*E76</f>
        <v>17.82</v>
      </c>
      <c r="N76" t="str">
        <f>IF(I76="Rob","Robusta",IF(I76="Exc","Excelsa",IF(I76="Ara","Arabica",IF(I76="Lib","Liberica",""))))</f>
        <v>Excelsa</v>
      </c>
      <c r="O76" t="str">
        <f t="shared" si="1"/>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9">
        <f>INDEX(products!$A$1:$G$49,MATCH(orders!$D77,products!$A$1:$A$49,0),MATCH(orders!K$1,products!$A$1:$G$1,0))</f>
        <v>1</v>
      </c>
      <c r="L77" s="5">
        <f>INDEX(products!$A$1:$G$49,MATCH(orders!$D77,products!$A$1:$A$49,0),MATCH(orders!L$1,products!$A$1:$G$1,0))</f>
        <v>8.9499999999999993</v>
      </c>
      <c r="M77">
        <f>L77*E77</f>
        <v>53.699999999999996</v>
      </c>
      <c r="N77" t="str">
        <f>IF(I77="Rob","Robusta",IF(I77="Exc","Excelsa",IF(I77="Ara","Arabica",IF(I77="Lib","Liberica",""))))</f>
        <v>Robusta</v>
      </c>
      <c r="O77" t="str">
        <f t="shared" si="1"/>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f>_xlfn.XLOOKUP(C78,customers!$A$1:$A$1001,customers!$C$1:$C$1001,,0)</f>
        <v>0</v>
      </c>
      <c r="H78" s="2" t="str">
        <f>_xlfn.XLOOKUP(C78,customers!$A$1:$A$1001,customers!$G$1:$G$1001,,0)</f>
        <v>Ireland</v>
      </c>
      <c r="I78" t="str">
        <f>INDEX(products!$A$1:$G$49,MATCH(orders!$D78,products!$A$1:$A$49,0),MATCH(orders!I$1,products!$A$1:$G$1,0))</f>
        <v>Rob</v>
      </c>
      <c r="J78" t="str">
        <f>INDEX(products!$A$1:$G$49,MATCH(orders!$D78,products!$A$1:$A$49,0),MATCH(orders!J$1,products!$A$1:$G$1,0))</f>
        <v>L</v>
      </c>
      <c r="K78" s="9">
        <f>INDEX(products!$A$1:$G$49,MATCH(orders!$D78,products!$A$1:$A$49,0),MATCH(orders!K$1,products!$A$1:$G$1,0))</f>
        <v>0.2</v>
      </c>
      <c r="L78" s="5">
        <f>INDEX(products!$A$1:$G$49,MATCH(orders!$D78,products!$A$1:$A$49,0),MATCH(orders!L$1,products!$A$1:$G$1,0))</f>
        <v>3.5849999999999995</v>
      </c>
      <c r="M78">
        <f>L78*E78</f>
        <v>3.5849999999999995</v>
      </c>
      <c r="N78" t="str">
        <f>IF(I78="Rob","Robusta",IF(I78="Exc","Excelsa",IF(I78="Ara","Arabica",IF(I78="Lib","Liberica",""))))</f>
        <v>Robusta</v>
      </c>
      <c r="O78" t="str">
        <f t="shared" si="1"/>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9">
        <f>INDEX(products!$A$1:$G$49,MATCH(orders!$D79,products!$A$1:$A$49,0),MATCH(orders!K$1,products!$A$1:$G$1,0))</f>
        <v>0.2</v>
      </c>
      <c r="L79" s="5">
        <f>INDEX(products!$A$1:$G$49,MATCH(orders!$D79,products!$A$1:$A$49,0),MATCH(orders!L$1,products!$A$1:$G$1,0))</f>
        <v>3.645</v>
      </c>
      <c r="M79">
        <f>L79*E79</f>
        <v>7.29</v>
      </c>
      <c r="N79" t="str">
        <f>IF(I79="Rob","Robusta",IF(I79="Exc","Excelsa",IF(I79="Ara","Arabica",IF(I79="Lib","Liberica",""))))</f>
        <v>Excelsa</v>
      </c>
      <c r="O79" t="str">
        <f t="shared" si="1"/>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9">
        <f>INDEX(products!$A$1:$G$49,MATCH(orders!$D80,products!$A$1:$A$49,0),MATCH(orders!K$1,products!$A$1:$G$1,0))</f>
        <v>0.5</v>
      </c>
      <c r="L80" s="5">
        <f>INDEX(products!$A$1:$G$49,MATCH(orders!$D80,products!$A$1:$A$49,0),MATCH(orders!L$1,products!$A$1:$G$1,0))</f>
        <v>6.75</v>
      </c>
      <c r="M80">
        <f>L80*E80</f>
        <v>40.5</v>
      </c>
      <c r="N80" t="str">
        <f>IF(I80="Rob","Robusta",IF(I80="Exc","Excelsa",IF(I80="Ara","Arabica",IF(I80="Lib","Liberica",""))))</f>
        <v>Arabica</v>
      </c>
      <c r="O80" t="str">
        <f t="shared" si="1"/>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9">
        <f>INDEX(products!$A$1:$G$49,MATCH(orders!$D81,products!$A$1:$A$49,0),MATCH(orders!K$1,products!$A$1:$G$1,0))</f>
        <v>1</v>
      </c>
      <c r="L81" s="5">
        <f>INDEX(products!$A$1:$G$49,MATCH(orders!$D81,products!$A$1:$A$49,0),MATCH(orders!L$1,products!$A$1:$G$1,0))</f>
        <v>11.95</v>
      </c>
      <c r="M81">
        <f>L81*E81</f>
        <v>47.8</v>
      </c>
      <c r="N81" t="str">
        <f>IF(I81="Rob","Robusta",IF(I81="Exc","Excelsa",IF(I81="Ara","Arabica",IF(I81="Lib","Liberica",""))))</f>
        <v>Robusta</v>
      </c>
      <c r="O81" t="str">
        <f t="shared" si="1"/>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9">
        <f>INDEX(products!$A$1:$G$49,MATCH(orders!$D82,products!$A$1:$A$49,0),MATCH(orders!K$1,products!$A$1:$G$1,0))</f>
        <v>0.5</v>
      </c>
      <c r="L82" s="5">
        <f>INDEX(products!$A$1:$G$49,MATCH(orders!$D82,products!$A$1:$A$49,0),MATCH(orders!L$1,products!$A$1:$G$1,0))</f>
        <v>7.77</v>
      </c>
      <c r="M82">
        <f>L82*E82</f>
        <v>38.849999999999994</v>
      </c>
      <c r="N82" t="str">
        <f>IF(I82="Rob","Robusta",IF(I82="Exc","Excelsa",IF(I82="Ara","Arabica",IF(I82="Lib","Liberica",""))))</f>
        <v>Arabica</v>
      </c>
      <c r="O82" t="str">
        <f t="shared" si="1"/>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9">
        <f>INDEX(products!$A$1:$G$49,MATCH(orders!$D83,products!$A$1:$A$49,0),MATCH(orders!K$1,products!$A$1:$G$1,0))</f>
        <v>2.5</v>
      </c>
      <c r="L83" s="5">
        <f>INDEX(products!$A$1:$G$49,MATCH(orders!$D83,products!$A$1:$A$49,0),MATCH(orders!L$1,products!$A$1:$G$1,0))</f>
        <v>36.454999999999998</v>
      </c>
      <c r="M83">
        <f>L83*E83</f>
        <v>109.36499999999999</v>
      </c>
      <c r="N83" t="str">
        <f>IF(I83="Rob","Robusta",IF(I83="Exc","Excelsa",IF(I83="Ara","Arabica",IF(I83="Lib","Liberica",""))))</f>
        <v>Liberica</v>
      </c>
      <c r="O83" t="str">
        <f t="shared" si="1"/>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9">
        <f>INDEX(products!$A$1:$G$49,MATCH(orders!$D84,products!$A$1:$A$49,0),MATCH(orders!K$1,products!$A$1:$G$1,0))</f>
        <v>2.5</v>
      </c>
      <c r="L84" s="5">
        <f>INDEX(products!$A$1:$G$49,MATCH(orders!$D84,products!$A$1:$A$49,0),MATCH(orders!L$1,products!$A$1:$G$1,0))</f>
        <v>33.464999999999996</v>
      </c>
      <c r="M84">
        <f>L84*E84</f>
        <v>100.39499999999998</v>
      </c>
      <c r="N84" t="str">
        <f>IF(I84="Rob","Robusta",IF(I84="Exc","Excelsa",IF(I84="Ara","Arabica",IF(I84="Lib","Liberica",""))))</f>
        <v>Liberica</v>
      </c>
      <c r="O84" t="str">
        <f t="shared" si="1"/>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f>_xlfn.XLOOKUP(C85,customers!$A$1:$A$1001,customers!$C$1:$C$1001,,0)</f>
        <v>0</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9">
        <f>INDEX(products!$A$1:$G$49,MATCH(orders!$D85,products!$A$1:$A$49,0),MATCH(orders!K$1,products!$A$1:$G$1,0))</f>
        <v>2.5</v>
      </c>
      <c r="L85" s="5">
        <f>INDEX(products!$A$1:$G$49,MATCH(orders!$D85,products!$A$1:$A$49,0),MATCH(orders!L$1,products!$A$1:$G$1,0))</f>
        <v>20.584999999999997</v>
      </c>
      <c r="M85">
        <f>L85*E85</f>
        <v>82.339999999999989</v>
      </c>
      <c r="N85" t="str">
        <f>IF(I85="Rob","Robusta",IF(I85="Exc","Excelsa",IF(I85="Ara","Arabica",IF(I85="Lib","Liberica",""))))</f>
        <v>Robusta</v>
      </c>
      <c r="O85" t="str">
        <f t="shared" si="1"/>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9">
        <f>INDEX(products!$A$1:$G$49,MATCH(orders!$D86,products!$A$1:$A$49,0),MATCH(orders!K$1,products!$A$1:$G$1,0))</f>
        <v>0.5</v>
      </c>
      <c r="L86" s="5">
        <f>INDEX(products!$A$1:$G$49,MATCH(orders!$D86,products!$A$1:$A$49,0),MATCH(orders!L$1,products!$A$1:$G$1,0))</f>
        <v>9.51</v>
      </c>
      <c r="M86">
        <f>L86*E86</f>
        <v>9.51</v>
      </c>
      <c r="N86" t="str">
        <f>IF(I86="Rob","Robusta",IF(I86="Exc","Excelsa",IF(I86="Ara","Arabica",IF(I86="Lib","Liberica",""))))</f>
        <v>Liberica</v>
      </c>
      <c r="O86" t="str">
        <f t="shared" si="1"/>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9">
        <f>INDEX(products!$A$1:$G$49,MATCH(orders!$D87,products!$A$1:$A$49,0),MATCH(orders!K$1,products!$A$1:$G$1,0))</f>
        <v>2.5</v>
      </c>
      <c r="L87" s="5">
        <f>INDEX(products!$A$1:$G$49,MATCH(orders!$D87,products!$A$1:$A$49,0),MATCH(orders!L$1,products!$A$1:$G$1,0))</f>
        <v>29.784999999999997</v>
      </c>
      <c r="M87">
        <f>L87*E87</f>
        <v>89.35499999999999</v>
      </c>
      <c r="N87" t="str">
        <f>IF(I87="Rob","Robusta",IF(I87="Exc","Excelsa",IF(I87="Ara","Arabica",IF(I87="Lib","Liberica",""))))</f>
        <v>Arabica</v>
      </c>
      <c r="O87" t="str">
        <f t="shared" si="1"/>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9">
        <f>INDEX(products!$A$1:$G$49,MATCH(orders!$D88,products!$A$1:$A$49,0),MATCH(orders!K$1,products!$A$1:$G$1,0))</f>
        <v>0.2</v>
      </c>
      <c r="L88" s="5">
        <f>INDEX(products!$A$1:$G$49,MATCH(orders!$D88,products!$A$1:$A$49,0),MATCH(orders!L$1,products!$A$1:$G$1,0))</f>
        <v>2.9849999999999999</v>
      </c>
      <c r="M88">
        <f>L88*E88</f>
        <v>11.94</v>
      </c>
      <c r="N88" t="str">
        <f>IF(I88="Rob","Robusta",IF(I88="Exc","Excelsa",IF(I88="Ara","Arabica",IF(I88="Lib","Liberica",""))))</f>
        <v>Arabica</v>
      </c>
      <c r="O88" t="str">
        <f t="shared" si="1"/>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9">
        <f>INDEX(products!$A$1:$G$49,MATCH(orders!$D89,products!$A$1:$A$49,0),MATCH(orders!K$1,products!$A$1:$G$1,0))</f>
        <v>1</v>
      </c>
      <c r="L89" s="5">
        <f>INDEX(products!$A$1:$G$49,MATCH(orders!$D89,products!$A$1:$A$49,0),MATCH(orders!L$1,products!$A$1:$G$1,0))</f>
        <v>11.25</v>
      </c>
      <c r="M89">
        <f>L89*E89</f>
        <v>33.75</v>
      </c>
      <c r="N89" t="str">
        <f>IF(I89="Rob","Robusta",IF(I89="Exc","Excelsa",IF(I89="Ara","Arabica",IF(I89="Lib","Liberica",""))))</f>
        <v>Arabica</v>
      </c>
      <c r="O89" t="str">
        <f t="shared" si="1"/>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9">
        <f>INDEX(products!$A$1:$G$49,MATCH(orders!$D90,products!$A$1:$A$49,0),MATCH(orders!K$1,products!$A$1:$G$1,0))</f>
        <v>1</v>
      </c>
      <c r="L90" s="5">
        <f>INDEX(products!$A$1:$G$49,MATCH(orders!$D90,products!$A$1:$A$49,0),MATCH(orders!L$1,products!$A$1:$G$1,0))</f>
        <v>11.95</v>
      </c>
      <c r="M90">
        <f>L90*E90</f>
        <v>35.849999999999994</v>
      </c>
      <c r="N90" t="str">
        <f>IF(I90="Rob","Robusta",IF(I90="Exc","Excelsa",IF(I90="Ara","Arabica",IF(I90="Lib","Liberica",""))))</f>
        <v>Robusta</v>
      </c>
      <c r="O90" t="str">
        <f t="shared" si="1"/>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9">
        <f>INDEX(products!$A$1:$G$49,MATCH(orders!$D91,products!$A$1:$A$49,0),MATCH(orders!K$1,products!$A$1:$G$1,0))</f>
        <v>1</v>
      </c>
      <c r="L91" s="5">
        <f>INDEX(products!$A$1:$G$49,MATCH(orders!$D91,products!$A$1:$A$49,0),MATCH(orders!L$1,products!$A$1:$G$1,0))</f>
        <v>12.95</v>
      </c>
      <c r="M91">
        <f>L91*E91</f>
        <v>77.699999999999989</v>
      </c>
      <c r="N91" t="str">
        <f>IF(I91="Rob","Robusta",IF(I91="Exc","Excelsa",IF(I91="Ara","Arabica",IF(I91="Lib","Liberica",""))))</f>
        <v>Arabica</v>
      </c>
      <c r="O91" t="str">
        <f t="shared" si="1"/>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f>_xlfn.XLOOKUP(C92,customers!$A$1:$A$1001,customers!$C$1:$C$1001,,0)</f>
        <v>0</v>
      </c>
      <c r="H92" s="2" t="str">
        <f>_xlfn.XLOOKUP(C92,customers!$A$1:$A$1001,customers!$G$1:$G$1001,,0)</f>
        <v>Ireland</v>
      </c>
      <c r="I92" t="str">
        <f>INDEX(products!$A$1:$G$49,MATCH(orders!$D92,products!$A$1:$A$49,0),MATCH(orders!I$1,products!$A$1:$G$1,0))</f>
        <v>Ara</v>
      </c>
      <c r="J92" t="str">
        <f>INDEX(products!$A$1:$G$49,MATCH(orders!$D92,products!$A$1:$A$49,0),MATCH(orders!J$1,products!$A$1:$G$1,0))</f>
        <v>L</v>
      </c>
      <c r="K92" s="9">
        <f>INDEX(products!$A$1:$G$49,MATCH(orders!$D92,products!$A$1:$A$49,0),MATCH(orders!K$1,products!$A$1:$G$1,0))</f>
        <v>1</v>
      </c>
      <c r="L92" s="5">
        <f>INDEX(products!$A$1:$G$49,MATCH(orders!$D92,products!$A$1:$A$49,0),MATCH(orders!L$1,products!$A$1:$G$1,0))</f>
        <v>12.95</v>
      </c>
      <c r="M92">
        <f>L92*E92</f>
        <v>51.8</v>
      </c>
      <c r="N92" t="str">
        <f>IF(I92="Rob","Robusta",IF(I92="Exc","Excelsa",IF(I92="Ara","Arabica",IF(I92="Lib","Liberica",""))))</f>
        <v>Arabica</v>
      </c>
      <c r="O92" t="str">
        <f t="shared" si="1"/>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9">
        <f>INDEX(products!$A$1:$G$49,MATCH(orders!$D93,products!$A$1:$A$49,0),MATCH(orders!K$1,products!$A$1:$G$1,0))</f>
        <v>2.5</v>
      </c>
      <c r="L93" s="5">
        <f>INDEX(products!$A$1:$G$49,MATCH(orders!$D93,products!$A$1:$A$49,0),MATCH(orders!L$1,products!$A$1:$G$1,0))</f>
        <v>25.874999999999996</v>
      </c>
      <c r="M93">
        <f>L93*E93</f>
        <v>103.49999999999999</v>
      </c>
      <c r="N93" t="str">
        <f>IF(I93="Rob","Robusta",IF(I93="Exc","Excelsa",IF(I93="Ara","Arabica",IF(I93="Lib","Liberica",""))))</f>
        <v>Arabica</v>
      </c>
      <c r="O93" t="str">
        <f t="shared" si="1"/>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f>_xlfn.XLOOKUP(C94,customers!$A$1:$A$1001,customers!$C$1:$C$1001,,0)</f>
        <v>0</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9">
        <f>INDEX(products!$A$1:$G$49,MATCH(orders!$D94,products!$A$1:$A$49,0),MATCH(orders!K$1,products!$A$1:$G$1,0))</f>
        <v>1</v>
      </c>
      <c r="L94" s="5">
        <f>INDEX(products!$A$1:$G$49,MATCH(orders!$D94,products!$A$1:$A$49,0),MATCH(orders!L$1,products!$A$1:$G$1,0))</f>
        <v>14.85</v>
      </c>
      <c r="M94">
        <f>L94*E94</f>
        <v>44.55</v>
      </c>
      <c r="N94" t="str">
        <f>IF(I94="Rob","Robusta",IF(I94="Exc","Excelsa",IF(I94="Ara","Arabica",IF(I94="Lib","Liberica",""))))</f>
        <v>Excelsa</v>
      </c>
      <c r="O94" t="str">
        <f t="shared" si="1"/>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9">
        <f>INDEX(products!$A$1:$G$49,MATCH(orders!$D95,products!$A$1:$A$49,0),MATCH(orders!K$1,products!$A$1:$G$1,0))</f>
        <v>0.5</v>
      </c>
      <c r="L95" s="5">
        <f>INDEX(products!$A$1:$G$49,MATCH(orders!$D95,products!$A$1:$A$49,0),MATCH(orders!L$1,products!$A$1:$G$1,0))</f>
        <v>8.91</v>
      </c>
      <c r="M95">
        <f>L95*E95</f>
        <v>35.64</v>
      </c>
      <c r="N95" t="str">
        <f>IF(I95="Rob","Robusta",IF(I95="Exc","Excelsa",IF(I95="Ara","Arabica",IF(I95="Lib","Liberica",""))))</f>
        <v>Excelsa</v>
      </c>
      <c r="O95" t="str">
        <f t="shared" si="1"/>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f>_xlfn.XLOOKUP(C96,customers!$A$1:$A$1001,customers!$C$1:$C$1001,,0)</f>
        <v>0</v>
      </c>
      <c r="H96" s="2" t="str">
        <f>_xlfn.XLOOKUP(C96,customers!$A$1:$A$1001,customers!$G$1:$G$1001,,0)</f>
        <v>Ireland</v>
      </c>
      <c r="I96" t="str">
        <f>INDEX(products!$A$1:$G$49,MATCH(orders!$D96,products!$A$1:$A$49,0),MATCH(orders!I$1,products!$A$1:$G$1,0))</f>
        <v>Ara</v>
      </c>
      <c r="J96" t="str">
        <f>INDEX(products!$A$1:$G$49,MATCH(orders!$D96,products!$A$1:$A$49,0),MATCH(orders!J$1,products!$A$1:$G$1,0))</f>
        <v>D</v>
      </c>
      <c r="K96" s="9">
        <f>INDEX(products!$A$1:$G$49,MATCH(orders!$D96,products!$A$1:$A$49,0),MATCH(orders!K$1,products!$A$1:$G$1,0))</f>
        <v>0.2</v>
      </c>
      <c r="L96" s="5">
        <f>INDEX(products!$A$1:$G$49,MATCH(orders!$D96,products!$A$1:$A$49,0),MATCH(orders!L$1,products!$A$1:$G$1,0))</f>
        <v>2.9849999999999999</v>
      </c>
      <c r="M96">
        <f>L96*E96</f>
        <v>17.91</v>
      </c>
      <c r="N96" t="str">
        <f>IF(I96="Rob","Robusta",IF(I96="Exc","Excelsa",IF(I96="Ara","Arabica",IF(I96="Lib","Liberica",""))))</f>
        <v>Arabica</v>
      </c>
      <c r="O96" t="str">
        <f t="shared" si="1"/>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9">
        <f>INDEX(products!$A$1:$G$49,MATCH(orders!$D97,products!$A$1:$A$49,0),MATCH(orders!K$1,products!$A$1:$G$1,0))</f>
        <v>2.5</v>
      </c>
      <c r="L97" s="5">
        <f>INDEX(products!$A$1:$G$49,MATCH(orders!$D97,products!$A$1:$A$49,0),MATCH(orders!L$1,products!$A$1:$G$1,0))</f>
        <v>25.874999999999996</v>
      </c>
      <c r="M97">
        <f>L97*E97</f>
        <v>155.24999999999997</v>
      </c>
      <c r="N97" t="str">
        <f>IF(I97="Rob","Robusta",IF(I97="Exc","Excelsa",IF(I97="Ara","Arabica",IF(I97="Lib","Liberica",""))))</f>
        <v>Arabica</v>
      </c>
      <c r="O97" t="str">
        <f t="shared" si="1"/>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9">
        <f>INDEX(products!$A$1:$G$49,MATCH(orders!$D98,products!$A$1:$A$49,0),MATCH(orders!K$1,products!$A$1:$G$1,0))</f>
        <v>0.2</v>
      </c>
      <c r="L98" s="5">
        <f>INDEX(products!$A$1:$G$49,MATCH(orders!$D98,products!$A$1:$A$49,0),MATCH(orders!L$1,products!$A$1:$G$1,0))</f>
        <v>2.9849999999999999</v>
      </c>
      <c r="M98">
        <f>L98*E98</f>
        <v>5.97</v>
      </c>
      <c r="N98" t="str">
        <f>IF(I98="Rob","Robusta",IF(I98="Exc","Excelsa",IF(I98="Ara","Arabica",IF(I98="Lib","Liberica",""))))</f>
        <v>Arabica</v>
      </c>
      <c r="O98" t="str">
        <f t="shared" si="1"/>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9">
        <f>INDEX(products!$A$1:$G$49,MATCH(orders!$D99,products!$A$1:$A$49,0),MATCH(orders!K$1,products!$A$1:$G$1,0))</f>
        <v>0.5</v>
      </c>
      <c r="L99" s="5">
        <f>INDEX(products!$A$1:$G$49,MATCH(orders!$D99,products!$A$1:$A$49,0),MATCH(orders!L$1,products!$A$1:$G$1,0))</f>
        <v>6.75</v>
      </c>
      <c r="M99">
        <f>L99*E99</f>
        <v>13.5</v>
      </c>
      <c r="N99" t="str">
        <f>IF(I99="Rob","Robusta",IF(I99="Exc","Excelsa",IF(I99="Ara","Arabica",IF(I99="Lib","Liberica",""))))</f>
        <v>Arabica</v>
      </c>
      <c r="O99" t="str">
        <f t="shared" si="1"/>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f>_xlfn.XLOOKUP(C100,customers!$A$1:$A$1001,customers!$C$1:$C$1001,,0)</f>
        <v>0</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9">
        <f>INDEX(products!$A$1:$G$49,MATCH(orders!$D100,products!$A$1:$A$49,0),MATCH(orders!K$1,products!$A$1:$G$1,0))</f>
        <v>0.2</v>
      </c>
      <c r="L100" s="5">
        <f>INDEX(products!$A$1:$G$49,MATCH(orders!$D100,products!$A$1:$A$49,0),MATCH(orders!L$1,products!$A$1:$G$1,0))</f>
        <v>2.9849999999999999</v>
      </c>
      <c r="M100">
        <f>L100*E100</f>
        <v>2.9849999999999999</v>
      </c>
      <c r="N100" t="str">
        <f>IF(I100="Rob","Robusta",IF(I100="Exc","Excelsa",IF(I100="Ara","Arabica",IF(I100="Lib","Liberica",""))))</f>
        <v>Arabica</v>
      </c>
      <c r="O100" t="str">
        <f t="shared" si="1"/>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f>_xlfn.XLOOKUP(C101,customers!$A$1:$A$1001,customers!$C$1:$C$1001,,0)</f>
        <v>0</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9">
        <f>INDEX(products!$A$1:$G$49,MATCH(orders!$D101,products!$A$1:$A$49,0),MATCH(orders!K$1,products!$A$1:$G$1,0))</f>
        <v>0.2</v>
      </c>
      <c r="L101" s="5">
        <f>INDEX(products!$A$1:$G$49,MATCH(orders!$D101,products!$A$1:$A$49,0),MATCH(orders!L$1,products!$A$1:$G$1,0))</f>
        <v>4.3650000000000002</v>
      </c>
      <c r="M101">
        <f>L101*E101</f>
        <v>13.095000000000001</v>
      </c>
      <c r="N101" t="str">
        <f>IF(I101="Rob","Robusta",IF(I101="Exc","Excelsa",IF(I101="Ara","Arabica",IF(I101="Lib","Liberica",""))))</f>
        <v>Liberica</v>
      </c>
      <c r="O101" t="str">
        <f t="shared" si="1"/>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f>_xlfn.XLOOKUP(C102,customers!$A$1:$A$1001,customers!$C$1:$C$1001,,0)</f>
        <v>0</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9">
        <f>INDEX(products!$A$1:$G$49,MATCH(orders!$D102,products!$A$1:$A$49,0),MATCH(orders!K$1,products!$A$1:$G$1,0))</f>
        <v>0.2</v>
      </c>
      <c r="L102" s="5">
        <f>INDEX(products!$A$1:$G$49,MATCH(orders!$D102,products!$A$1:$A$49,0),MATCH(orders!L$1,products!$A$1:$G$1,0))</f>
        <v>3.8849999999999998</v>
      </c>
      <c r="M102">
        <f>L102*E102</f>
        <v>7.77</v>
      </c>
      <c r="N102" t="str">
        <f>IF(I102="Rob","Robusta",IF(I102="Exc","Excelsa",IF(I102="Ara","Arabica",IF(I102="Lib","Liberica",""))))</f>
        <v>Arabica</v>
      </c>
      <c r="O102" t="str">
        <f t="shared" si="1"/>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9">
        <f>INDEX(products!$A$1:$G$49,MATCH(orders!$D103,products!$A$1:$A$49,0),MATCH(orders!K$1,products!$A$1:$G$1,0))</f>
        <v>2.5</v>
      </c>
      <c r="L103" s="5">
        <f>INDEX(products!$A$1:$G$49,MATCH(orders!$D103,products!$A$1:$A$49,0),MATCH(orders!L$1,products!$A$1:$G$1,0))</f>
        <v>29.784999999999997</v>
      </c>
      <c r="M103">
        <f>L103*E103</f>
        <v>148.92499999999998</v>
      </c>
      <c r="N103" t="str">
        <f>IF(I103="Rob","Robusta",IF(I103="Exc","Excelsa",IF(I103="Ara","Arabica",IF(I103="Lib","Liberica",""))))</f>
        <v>Liberica</v>
      </c>
      <c r="O103" t="str">
        <f t="shared" si="1"/>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9">
        <f>INDEX(products!$A$1:$G$49,MATCH(orders!$D104,products!$A$1:$A$49,0),MATCH(orders!K$1,products!$A$1:$G$1,0))</f>
        <v>1</v>
      </c>
      <c r="L104" s="5">
        <f>INDEX(products!$A$1:$G$49,MATCH(orders!$D104,products!$A$1:$A$49,0),MATCH(orders!L$1,products!$A$1:$G$1,0))</f>
        <v>12.95</v>
      </c>
      <c r="M104">
        <f>L104*E104</f>
        <v>38.849999999999994</v>
      </c>
      <c r="N104" t="str">
        <f>IF(I104="Rob","Robusta",IF(I104="Exc","Excelsa",IF(I104="Ara","Arabica",IF(I104="Lib","Liberica",""))))</f>
        <v>Liberica</v>
      </c>
      <c r="O104" t="str">
        <f t="shared" si="1"/>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9">
        <f>INDEX(products!$A$1:$G$49,MATCH(orders!$D105,products!$A$1:$A$49,0),MATCH(orders!K$1,products!$A$1:$G$1,0))</f>
        <v>0.2</v>
      </c>
      <c r="L105" s="5">
        <f>INDEX(products!$A$1:$G$49,MATCH(orders!$D105,products!$A$1:$A$49,0),MATCH(orders!L$1,products!$A$1:$G$1,0))</f>
        <v>2.9849999999999999</v>
      </c>
      <c r="M105">
        <f>L105*E105</f>
        <v>11.94</v>
      </c>
      <c r="N105" t="str">
        <f>IF(I105="Rob","Robusta",IF(I105="Exc","Excelsa",IF(I105="Ara","Arabica",IF(I105="Lib","Liberica",""))))</f>
        <v>Robusta</v>
      </c>
      <c r="O105" t="str">
        <f t="shared" si="1"/>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9">
        <f>INDEX(products!$A$1:$G$49,MATCH(orders!$D106,products!$A$1:$A$49,0),MATCH(orders!K$1,products!$A$1:$G$1,0))</f>
        <v>1</v>
      </c>
      <c r="L106" s="5">
        <f>INDEX(products!$A$1:$G$49,MATCH(orders!$D106,products!$A$1:$A$49,0),MATCH(orders!L$1,products!$A$1:$G$1,0))</f>
        <v>14.55</v>
      </c>
      <c r="M106">
        <f>L106*E106</f>
        <v>87.300000000000011</v>
      </c>
      <c r="N106" t="str">
        <f>IF(I106="Rob","Robusta",IF(I106="Exc","Excelsa",IF(I106="Ara","Arabica",IF(I106="Lib","Liberica",""))))</f>
        <v>Liberica</v>
      </c>
      <c r="O106" t="str">
        <f t="shared" si="1"/>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9">
        <f>INDEX(products!$A$1:$G$49,MATCH(orders!$D107,products!$A$1:$A$49,0),MATCH(orders!K$1,products!$A$1:$G$1,0))</f>
        <v>0.5</v>
      </c>
      <c r="L107" s="5">
        <f>INDEX(products!$A$1:$G$49,MATCH(orders!$D107,products!$A$1:$A$49,0),MATCH(orders!L$1,products!$A$1:$G$1,0))</f>
        <v>6.75</v>
      </c>
      <c r="M107">
        <f>L107*E107</f>
        <v>40.5</v>
      </c>
      <c r="N107" t="str">
        <f>IF(I107="Rob","Robusta",IF(I107="Exc","Excelsa",IF(I107="Ara","Arabica",IF(I107="Lib","Liberica",""))))</f>
        <v>Arabica</v>
      </c>
      <c r="O107" t="str">
        <f t="shared" si="1"/>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9">
        <f>INDEX(products!$A$1:$G$49,MATCH(orders!$D108,products!$A$1:$A$49,0),MATCH(orders!K$1,products!$A$1:$G$1,0))</f>
        <v>1</v>
      </c>
      <c r="L108" s="5">
        <f>INDEX(products!$A$1:$G$49,MATCH(orders!$D108,products!$A$1:$A$49,0),MATCH(orders!L$1,products!$A$1:$G$1,0))</f>
        <v>12.15</v>
      </c>
      <c r="M108">
        <f>L108*E108</f>
        <v>24.3</v>
      </c>
      <c r="N108" t="str">
        <f>IF(I108="Rob","Robusta",IF(I108="Exc","Excelsa",IF(I108="Ara","Arabica",IF(I108="Lib","Liberica",""))))</f>
        <v>Excelsa</v>
      </c>
      <c r="O108" t="str">
        <f t="shared" si="1"/>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9">
        <f>INDEX(products!$A$1:$G$49,MATCH(orders!$D109,products!$A$1:$A$49,0),MATCH(orders!K$1,products!$A$1:$G$1,0))</f>
        <v>0.5</v>
      </c>
      <c r="L109" s="5">
        <f>INDEX(products!$A$1:$G$49,MATCH(orders!$D109,products!$A$1:$A$49,0),MATCH(orders!L$1,products!$A$1:$G$1,0))</f>
        <v>5.97</v>
      </c>
      <c r="M109">
        <f>L109*E109</f>
        <v>17.91</v>
      </c>
      <c r="N109" t="str">
        <f>IF(I109="Rob","Robusta",IF(I109="Exc","Excelsa",IF(I109="Ara","Arabica",IF(I109="Lib","Liberica",""))))</f>
        <v>Robusta</v>
      </c>
      <c r="O109" t="str">
        <f t="shared" si="1"/>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f>_xlfn.XLOOKUP(C110,customers!$A$1:$A$1001,customers!$C$1:$C$1001,,0)</f>
        <v>0</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9">
        <f>INDEX(products!$A$1:$G$49,MATCH(orders!$D110,products!$A$1:$A$49,0),MATCH(orders!K$1,products!$A$1:$G$1,0))</f>
        <v>0.5</v>
      </c>
      <c r="L110" s="5">
        <f>INDEX(products!$A$1:$G$49,MATCH(orders!$D110,products!$A$1:$A$49,0),MATCH(orders!L$1,products!$A$1:$G$1,0))</f>
        <v>6.75</v>
      </c>
      <c r="M110">
        <f>L110*E110</f>
        <v>27</v>
      </c>
      <c r="N110" t="str">
        <f>IF(I110="Rob","Robusta",IF(I110="Exc","Excelsa",IF(I110="Ara","Arabica",IF(I110="Lib","Liberica",""))))</f>
        <v>Arabica</v>
      </c>
      <c r="O110" t="str">
        <f t="shared" si="1"/>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9">
        <f>INDEX(products!$A$1:$G$49,MATCH(orders!$D111,products!$A$1:$A$49,0),MATCH(orders!K$1,products!$A$1:$G$1,0))</f>
        <v>0.5</v>
      </c>
      <c r="L111" s="5">
        <f>INDEX(products!$A$1:$G$49,MATCH(orders!$D111,products!$A$1:$A$49,0),MATCH(orders!L$1,products!$A$1:$G$1,0))</f>
        <v>7.77</v>
      </c>
      <c r="M111">
        <f>L111*E111</f>
        <v>7.77</v>
      </c>
      <c r="N111" t="str">
        <f>IF(I111="Rob","Robusta",IF(I111="Exc","Excelsa",IF(I111="Ara","Arabica",IF(I111="Lib","Liberica",""))))</f>
        <v>Liberica</v>
      </c>
      <c r="O111" t="str">
        <f t="shared" si="1"/>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9">
        <f>INDEX(products!$A$1:$G$49,MATCH(orders!$D112,products!$A$1:$A$49,0),MATCH(orders!K$1,products!$A$1:$G$1,0))</f>
        <v>0.2</v>
      </c>
      <c r="L112" s="5">
        <f>INDEX(products!$A$1:$G$49,MATCH(orders!$D112,products!$A$1:$A$49,0),MATCH(orders!L$1,products!$A$1:$G$1,0))</f>
        <v>4.4550000000000001</v>
      </c>
      <c r="M112">
        <f>L112*E112</f>
        <v>13.365</v>
      </c>
      <c r="N112" t="str">
        <f>IF(I112="Rob","Robusta",IF(I112="Exc","Excelsa",IF(I112="Ara","Arabica",IF(I112="Lib","Liberica",""))))</f>
        <v>Excelsa</v>
      </c>
      <c r="O112" t="str">
        <f t="shared" si="1"/>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9">
        <f>INDEX(products!$A$1:$G$49,MATCH(orders!$D113,products!$A$1:$A$49,0),MATCH(orders!K$1,products!$A$1:$G$1,0))</f>
        <v>0.5</v>
      </c>
      <c r="L113" s="5">
        <f>INDEX(products!$A$1:$G$49,MATCH(orders!$D113,products!$A$1:$A$49,0),MATCH(orders!L$1,products!$A$1:$G$1,0))</f>
        <v>5.3699999999999992</v>
      </c>
      <c r="M113">
        <f>L113*E113</f>
        <v>26.849999999999994</v>
      </c>
      <c r="N113" t="str">
        <f>IF(I113="Rob","Robusta",IF(I113="Exc","Excelsa",IF(I113="Ara","Arabica",IF(I113="Lib","Liberica",""))))</f>
        <v>Robusta</v>
      </c>
      <c r="O113" t="str">
        <f t="shared" si="1"/>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9">
        <f>INDEX(products!$A$1:$G$49,MATCH(orders!$D114,products!$A$1:$A$49,0),MATCH(orders!K$1,products!$A$1:$G$1,0))</f>
        <v>1</v>
      </c>
      <c r="L114" s="5">
        <f>INDEX(products!$A$1:$G$49,MATCH(orders!$D114,products!$A$1:$A$49,0),MATCH(orders!L$1,products!$A$1:$G$1,0))</f>
        <v>11.25</v>
      </c>
      <c r="M114">
        <f>L114*E114</f>
        <v>11.25</v>
      </c>
      <c r="N114" t="str">
        <f>IF(I114="Rob","Robusta",IF(I114="Exc","Excelsa",IF(I114="Ara","Arabica",IF(I114="Lib","Liberica",""))))</f>
        <v>Arabica</v>
      </c>
      <c r="O114" t="str">
        <f t="shared" si="1"/>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9">
        <f>INDEX(products!$A$1:$G$49,MATCH(orders!$D115,products!$A$1:$A$49,0),MATCH(orders!K$1,products!$A$1:$G$1,0))</f>
        <v>1</v>
      </c>
      <c r="L115" s="5">
        <f>INDEX(products!$A$1:$G$49,MATCH(orders!$D115,products!$A$1:$A$49,0),MATCH(orders!L$1,products!$A$1:$G$1,0))</f>
        <v>14.55</v>
      </c>
      <c r="M115">
        <f>L115*E115</f>
        <v>14.55</v>
      </c>
      <c r="N115" t="str">
        <f>IF(I115="Rob","Robusta",IF(I115="Exc","Excelsa",IF(I115="Ara","Arabica",IF(I115="Lib","Liberica",""))))</f>
        <v>Liberica</v>
      </c>
      <c r="O115" t="str">
        <f t="shared" si="1"/>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f>_xlfn.XLOOKUP(C116,customers!$A$1:$A$1001,customers!$C$1:$C$1001,,0)</f>
        <v>0</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9">
        <f>INDEX(products!$A$1:$G$49,MATCH(orders!$D116,products!$A$1:$A$49,0),MATCH(orders!K$1,products!$A$1:$G$1,0))</f>
        <v>0.2</v>
      </c>
      <c r="L116" s="5">
        <f>INDEX(products!$A$1:$G$49,MATCH(orders!$D116,products!$A$1:$A$49,0),MATCH(orders!L$1,products!$A$1:$G$1,0))</f>
        <v>3.5849999999999995</v>
      </c>
      <c r="M116">
        <f>L116*E116</f>
        <v>14.339999999999998</v>
      </c>
      <c r="N116" t="str">
        <f>IF(I116="Rob","Robusta",IF(I116="Exc","Excelsa",IF(I116="Ara","Arabica",IF(I116="Lib","Liberica",""))))</f>
        <v>Robusta</v>
      </c>
      <c r="O116" t="str">
        <f t="shared" si="1"/>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9">
        <f>INDEX(products!$A$1:$G$49,MATCH(orders!$D117,products!$A$1:$A$49,0),MATCH(orders!K$1,products!$A$1:$G$1,0))</f>
        <v>1</v>
      </c>
      <c r="L117" s="5">
        <f>INDEX(products!$A$1:$G$49,MATCH(orders!$D117,products!$A$1:$A$49,0),MATCH(orders!L$1,products!$A$1:$G$1,0))</f>
        <v>15.85</v>
      </c>
      <c r="M117">
        <f>L117*E117</f>
        <v>15.85</v>
      </c>
      <c r="N117" t="str">
        <f>IF(I117="Rob","Robusta",IF(I117="Exc","Excelsa",IF(I117="Ara","Arabica",IF(I117="Lib","Liberica",""))))</f>
        <v>Liberica</v>
      </c>
      <c r="O117" t="str">
        <f t="shared" si="1"/>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9">
        <f>INDEX(products!$A$1:$G$49,MATCH(orders!$D118,products!$A$1:$A$49,0),MATCH(orders!K$1,products!$A$1:$G$1,0))</f>
        <v>0.2</v>
      </c>
      <c r="L118" s="5">
        <f>INDEX(products!$A$1:$G$49,MATCH(orders!$D118,products!$A$1:$A$49,0),MATCH(orders!L$1,products!$A$1:$G$1,0))</f>
        <v>4.7549999999999999</v>
      </c>
      <c r="M118">
        <f>L118*E118</f>
        <v>19.02</v>
      </c>
      <c r="N118" t="str">
        <f>IF(I118="Rob","Robusta",IF(I118="Exc","Excelsa",IF(I118="Ara","Arabica",IF(I118="Lib","Liberica",""))))</f>
        <v>Liberica</v>
      </c>
      <c r="O118" t="str">
        <f t="shared" si="1"/>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9">
        <f>INDEX(products!$A$1:$G$49,MATCH(orders!$D119,products!$A$1:$A$49,0),MATCH(orders!K$1,products!$A$1:$G$1,0))</f>
        <v>0.5</v>
      </c>
      <c r="L119" s="5">
        <f>INDEX(products!$A$1:$G$49,MATCH(orders!$D119,products!$A$1:$A$49,0),MATCH(orders!L$1,products!$A$1:$G$1,0))</f>
        <v>9.51</v>
      </c>
      <c r="M119">
        <f>L119*E119</f>
        <v>38.04</v>
      </c>
      <c r="N119" t="str">
        <f>IF(I119="Rob","Robusta",IF(I119="Exc","Excelsa",IF(I119="Ara","Arabica",IF(I119="Lib","Liberica",""))))</f>
        <v>Liberica</v>
      </c>
      <c r="O119" t="str">
        <f t="shared" si="1"/>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9">
        <f>INDEX(products!$A$1:$G$49,MATCH(orders!$D120,products!$A$1:$A$49,0),MATCH(orders!K$1,products!$A$1:$G$1,0))</f>
        <v>0.5</v>
      </c>
      <c r="L120" s="5">
        <f>INDEX(products!$A$1:$G$49,MATCH(orders!$D120,products!$A$1:$A$49,0),MATCH(orders!L$1,products!$A$1:$G$1,0))</f>
        <v>7.29</v>
      </c>
      <c r="M120">
        <f>L120*E120</f>
        <v>21.87</v>
      </c>
      <c r="N120" t="str">
        <f>IF(I120="Rob","Robusta",IF(I120="Exc","Excelsa",IF(I120="Ara","Arabica",IF(I120="Lib","Liberica",""))))</f>
        <v>Excelsa</v>
      </c>
      <c r="O120" t="str">
        <f t="shared" si="1"/>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9">
        <f>INDEX(products!$A$1:$G$49,MATCH(orders!$D121,products!$A$1:$A$49,0),MATCH(orders!K$1,products!$A$1:$G$1,0))</f>
        <v>0.2</v>
      </c>
      <c r="L121" s="5">
        <f>INDEX(products!$A$1:$G$49,MATCH(orders!$D121,products!$A$1:$A$49,0),MATCH(orders!L$1,products!$A$1:$G$1,0))</f>
        <v>4.125</v>
      </c>
      <c r="M121">
        <f>L121*E121</f>
        <v>4.125</v>
      </c>
      <c r="N121" t="str">
        <f>IF(I121="Rob","Robusta",IF(I121="Exc","Excelsa",IF(I121="Ara","Arabica",IF(I121="Lib","Liberica",""))))</f>
        <v>Excelsa</v>
      </c>
      <c r="O121" t="str">
        <f t="shared" si="1"/>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9">
        <f>INDEX(products!$A$1:$G$49,MATCH(orders!$D122,products!$A$1:$A$49,0),MATCH(orders!K$1,products!$A$1:$G$1,0))</f>
        <v>0.2</v>
      </c>
      <c r="L122" s="5">
        <f>INDEX(products!$A$1:$G$49,MATCH(orders!$D122,products!$A$1:$A$49,0),MATCH(orders!L$1,products!$A$1:$G$1,0))</f>
        <v>3.8849999999999998</v>
      </c>
      <c r="M122">
        <f>L122*E122</f>
        <v>3.8849999999999998</v>
      </c>
      <c r="N122" t="str">
        <f>IF(I122="Rob","Robusta",IF(I122="Exc","Excelsa",IF(I122="Ara","Arabica",IF(I122="Lib","Liberica",""))))</f>
        <v>Arabica</v>
      </c>
      <c r="O122" t="str">
        <f t="shared" si="1"/>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9">
        <f>INDEX(products!$A$1:$G$49,MATCH(orders!$D123,products!$A$1:$A$49,0),MATCH(orders!K$1,products!$A$1:$G$1,0))</f>
        <v>1</v>
      </c>
      <c r="L123" s="5">
        <f>INDEX(products!$A$1:$G$49,MATCH(orders!$D123,products!$A$1:$A$49,0),MATCH(orders!L$1,products!$A$1:$G$1,0))</f>
        <v>13.75</v>
      </c>
      <c r="M123">
        <f>L123*E123</f>
        <v>68.75</v>
      </c>
      <c r="N123" t="str">
        <f>IF(I123="Rob","Robusta",IF(I123="Exc","Excelsa",IF(I123="Ara","Arabica",IF(I123="Lib","Liberica",""))))</f>
        <v>Excelsa</v>
      </c>
      <c r="O123" t="str">
        <f t="shared" si="1"/>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9">
        <f>INDEX(products!$A$1:$G$49,MATCH(orders!$D124,products!$A$1:$A$49,0),MATCH(orders!K$1,products!$A$1:$G$1,0))</f>
        <v>0.5</v>
      </c>
      <c r="L124" s="5">
        <f>INDEX(products!$A$1:$G$49,MATCH(orders!$D124,products!$A$1:$A$49,0),MATCH(orders!L$1,products!$A$1:$G$1,0))</f>
        <v>5.97</v>
      </c>
      <c r="M124">
        <f>L124*E124</f>
        <v>23.88</v>
      </c>
      <c r="N124" t="str">
        <f>IF(I124="Rob","Robusta",IF(I124="Exc","Excelsa",IF(I124="Ara","Arabica",IF(I124="Lib","Liberica",""))))</f>
        <v>Arabica</v>
      </c>
      <c r="O124" t="str">
        <f t="shared" si="1"/>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9">
        <f>INDEX(products!$A$1:$G$49,MATCH(orders!$D125,products!$A$1:$A$49,0),MATCH(orders!K$1,products!$A$1:$G$1,0))</f>
        <v>2.5</v>
      </c>
      <c r="L125" s="5">
        <f>INDEX(products!$A$1:$G$49,MATCH(orders!$D125,products!$A$1:$A$49,0),MATCH(orders!L$1,products!$A$1:$G$1,0))</f>
        <v>36.454999999999998</v>
      </c>
      <c r="M125">
        <f>L125*E125</f>
        <v>145.82</v>
      </c>
      <c r="N125" t="str">
        <f>IF(I125="Rob","Robusta",IF(I125="Exc","Excelsa",IF(I125="Ara","Arabica",IF(I125="Lib","Liberica",""))))</f>
        <v>Liberica</v>
      </c>
      <c r="O125" t="str">
        <f t="shared" si="1"/>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9">
        <f>INDEX(products!$A$1:$G$49,MATCH(orders!$D126,products!$A$1:$A$49,0),MATCH(orders!K$1,products!$A$1:$G$1,0))</f>
        <v>0.2</v>
      </c>
      <c r="L126" s="5">
        <f>INDEX(products!$A$1:$G$49,MATCH(orders!$D126,products!$A$1:$A$49,0),MATCH(orders!L$1,products!$A$1:$G$1,0))</f>
        <v>4.3650000000000002</v>
      </c>
      <c r="M126">
        <f>L126*E126</f>
        <v>21.825000000000003</v>
      </c>
      <c r="N126" t="str">
        <f>IF(I126="Rob","Robusta",IF(I126="Exc","Excelsa",IF(I126="Ara","Arabica",IF(I126="Lib","Liberica",""))))</f>
        <v>Liberica</v>
      </c>
      <c r="O126" t="str">
        <f t="shared" si="1"/>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9">
        <f>INDEX(products!$A$1:$G$49,MATCH(orders!$D127,products!$A$1:$A$49,0),MATCH(orders!K$1,products!$A$1:$G$1,0))</f>
        <v>0.5</v>
      </c>
      <c r="L127" s="5">
        <f>INDEX(products!$A$1:$G$49,MATCH(orders!$D127,products!$A$1:$A$49,0),MATCH(orders!L$1,products!$A$1:$G$1,0))</f>
        <v>8.73</v>
      </c>
      <c r="M127">
        <f>L127*E127</f>
        <v>26.19</v>
      </c>
      <c r="N127" t="str">
        <f>IF(I127="Rob","Robusta",IF(I127="Exc","Excelsa",IF(I127="Ara","Arabica",IF(I127="Lib","Liberica",""))))</f>
        <v>Liberica</v>
      </c>
      <c r="O127" t="str">
        <f t="shared" si="1"/>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9">
        <f>INDEX(products!$A$1:$G$49,MATCH(orders!$D128,products!$A$1:$A$49,0),MATCH(orders!K$1,products!$A$1:$G$1,0))</f>
        <v>1</v>
      </c>
      <c r="L128" s="5">
        <f>INDEX(products!$A$1:$G$49,MATCH(orders!$D128,products!$A$1:$A$49,0),MATCH(orders!L$1,products!$A$1:$G$1,0))</f>
        <v>11.25</v>
      </c>
      <c r="M128">
        <f>L128*E128</f>
        <v>11.25</v>
      </c>
      <c r="N128" t="str">
        <f>IF(I128="Rob","Robusta",IF(I128="Exc","Excelsa",IF(I128="Ara","Arabica",IF(I128="Lib","Liberica",""))))</f>
        <v>Arabica</v>
      </c>
      <c r="O128" t="str">
        <f t="shared" si="1"/>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9">
        <f>INDEX(products!$A$1:$G$49,MATCH(orders!$D129,products!$A$1:$A$49,0),MATCH(orders!K$1,products!$A$1:$G$1,0))</f>
        <v>1</v>
      </c>
      <c r="L129" s="5">
        <f>INDEX(products!$A$1:$G$49,MATCH(orders!$D129,products!$A$1:$A$49,0),MATCH(orders!L$1,products!$A$1:$G$1,0))</f>
        <v>12.95</v>
      </c>
      <c r="M129">
        <f>L129*E129</f>
        <v>77.699999999999989</v>
      </c>
      <c r="N129" t="str">
        <f>IF(I129="Rob","Robusta",IF(I129="Exc","Excelsa",IF(I129="Ara","Arabica",IF(I129="Lib","Liberica",""))))</f>
        <v>Liberica</v>
      </c>
      <c r="O129" t="str">
        <f t="shared" si="1"/>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9">
        <f>INDEX(products!$A$1:$G$49,MATCH(orders!$D130,products!$A$1:$A$49,0),MATCH(orders!K$1,products!$A$1:$G$1,0))</f>
        <v>0.5</v>
      </c>
      <c r="L130" s="5">
        <f>INDEX(products!$A$1:$G$49,MATCH(orders!$D130,products!$A$1:$A$49,0),MATCH(orders!L$1,products!$A$1:$G$1,0))</f>
        <v>6.75</v>
      </c>
      <c r="M130">
        <f>L130*E130</f>
        <v>6.75</v>
      </c>
      <c r="N130" t="str">
        <f>IF(I130="Rob","Robusta",IF(I130="Exc","Excelsa",IF(I130="Ara","Arabica",IF(I130="Lib","Liberica",""))))</f>
        <v>Arabica</v>
      </c>
      <c r="O130" t="str">
        <f t="shared" si="1"/>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9">
        <f>INDEX(products!$A$1:$G$49,MATCH(orders!$D131,products!$A$1:$A$49,0),MATCH(orders!K$1,products!$A$1:$G$1,0))</f>
        <v>1</v>
      </c>
      <c r="L131" s="5">
        <f>INDEX(products!$A$1:$G$49,MATCH(orders!$D131,products!$A$1:$A$49,0),MATCH(orders!L$1,products!$A$1:$G$1,0))</f>
        <v>12.15</v>
      </c>
      <c r="M131">
        <f>L131*E131</f>
        <v>12.15</v>
      </c>
      <c r="N131" t="str">
        <f>IF(I131="Rob","Robusta",IF(I131="Exc","Excelsa",IF(I131="Ara","Arabica",IF(I131="Lib","Liberica",""))))</f>
        <v>Excelsa</v>
      </c>
      <c r="O131" t="str">
        <f t="shared" ref="O131:O194" si="2">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f>_xlfn.XLOOKUP(C132,customers!$A$1:$A$1001,customers!$C$1:$C$1001,,0)</f>
        <v>0</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9">
        <f>INDEX(products!$A$1:$G$49,MATCH(orders!$D132,products!$A$1:$A$49,0),MATCH(orders!K$1,products!$A$1:$G$1,0))</f>
        <v>2.5</v>
      </c>
      <c r="L132" s="5">
        <f>INDEX(products!$A$1:$G$49,MATCH(orders!$D132,products!$A$1:$A$49,0),MATCH(orders!L$1,products!$A$1:$G$1,0))</f>
        <v>29.784999999999997</v>
      </c>
      <c r="M132">
        <f>L132*E132</f>
        <v>148.92499999999998</v>
      </c>
      <c r="N132" t="str">
        <f>IF(I132="Rob","Robusta",IF(I132="Exc","Excelsa",IF(I132="Ara","Arabica",IF(I132="Lib","Liberica",""))))</f>
        <v>Arabica</v>
      </c>
      <c r="O132" t="str">
        <f t="shared" si="2"/>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9">
        <f>INDEX(products!$A$1:$G$49,MATCH(orders!$D133,products!$A$1:$A$49,0),MATCH(orders!K$1,products!$A$1:$G$1,0))</f>
        <v>0.5</v>
      </c>
      <c r="L133" s="5">
        <f>INDEX(products!$A$1:$G$49,MATCH(orders!$D133,products!$A$1:$A$49,0),MATCH(orders!L$1,products!$A$1:$G$1,0))</f>
        <v>7.29</v>
      </c>
      <c r="M133">
        <f>L133*E133</f>
        <v>14.58</v>
      </c>
      <c r="N133" t="str">
        <f>IF(I133="Rob","Robusta",IF(I133="Exc","Excelsa",IF(I133="Ara","Arabica",IF(I133="Lib","Liberica",""))))</f>
        <v>Excelsa</v>
      </c>
      <c r="O133" t="str">
        <f t="shared" si="2"/>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9">
        <f>INDEX(products!$A$1:$G$49,MATCH(orders!$D134,products!$A$1:$A$49,0),MATCH(orders!K$1,products!$A$1:$G$1,0))</f>
        <v>2.5</v>
      </c>
      <c r="L134" s="5">
        <f>INDEX(products!$A$1:$G$49,MATCH(orders!$D134,products!$A$1:$A$49,0),MATCH(orders!L$1,products!$A$1:$G$1,0))</f>
        <v>29.784999999999997</v>
      </c>
      <c r="M134">
        <f>L134*E134</f>
        <v>148.92499999999998</v>
      </c>
      <c r="N134" t="str">
        <f>IF(I134="Rob","Robusta",IF(I134="Exc","Excelsa",IF(I134="Ara","Arabica",IF(I134="Lib","Liberica",""))))</f>
        <v>Arabica</v>
      </c>
      <c r="O134" t="str">
        <f t="shared" si="2"/>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9">
        <f>INDEX(products!$A$1:$G$49,MATCH(orders!$D135,products!$A$1:$A$49,0),MATCH(orders!K$1,products!$A$1:$G$1,0))</f>
        <v>1</v>
      </c>
      <c r="L135" s="5">
        <f>INDEX(products!$A$1:$G$49,MATCH(orders!$D135,products!$A$1:$A$49,0),MATCH(orders!L$1,products!$A$1:$G$1,0))</f>
        <v>12.95</v>
      </c>
      <c r="M135">
        <f>L135*E135</f>
        <v>12.95</v>
      </c>
      <c r="N135" t="str">
        <f>IF(I135="Rob","Robusta",IF(I135="Exc","Excelsa",IF(I135="Ara","Arabica",IF(I135="Lib","Liberica",""))))</f>
        <v>Liberica</v>
      </c>
      <c r="O135" t="str">
        <f t="shared" si="2"/>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f>_xlfn.XLOOKUP(C136,customers!$A$1:$A$1001,customers!$C$1:$C$1001,,0)</f>
        <v>0</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9">
        <f>INDEX(products!$A$1:$G$49,MATCH(orders!$D136,products!$A$1:$A$49,0),MATCH(orders!K$1,products!$A$1:$G$1,0))</f>
        <v>2.5</v>
      </c>
      <c r="L136" s="5">
        <f>INDEX(products!$A$1:$G$49,MATCH(orders!$D136,products!$A$1:$A$49,0),MATCH(orders!L$1,products!$A$1:$G$1,0))</f>
        <v>31.624999999999996</v>
      </c>
      <c r="M136">
        <f>L136*E136</f>
        <v>94.874999999999986</v>
      </c>
      <c r="N136" t="str">
        <f>IF(I136="Rob","Robusta",IF(I136="Exc","Excelsa",IF(I136="Ara","Arabica",IF(I136="Lib","Liberica",""))))</f>
        <v>Excelsa</v>
      </c>
      <c r="O136" t="str">
        <f t="shared" si="2"/>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9">
        <f>INDEX(products!$A$1:$G$49,MATCH(orders!$D137,products!$A$1:$A$49,0),MATCH(orders!K$1,products!$A$1:$G$1,0))</f>
        <v>0.5</v>
      </c>
      <c r="L137" s="5">
        <f>INDEX(products!$A$1:$G$49,MATCH(orders!$D137,products!$A$1:$A$49,0),MATCH(orders!L$1,products!$A$1:$G$1,0))</f>
        <v>7.77</v>
      </c>
      <c r="M137">
        <f>L137*E137</f>
        <v>38.849999999999994</v>
      </c>
      <c r="N137" t="str">
        <f>IF(I137="Rob","Robusta",IF(I137="Exc","Excelsa",IF(I137="Ara","Arabica",IF(I137="Lib","Liberica",""))))</f>
        <v>Arabica</v>
      </c>
      <c r="O137" t="str">
        <f t="shared" si="2"/>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9">
        <f>INDEX(products!$A$1:$G$49,MATCH(orders!$D138,products!$A$1:$A$49,0),MATCH(orders!K$1,products!$A$1:$G$1,0))</f>
        <v>0.2</v>
      </c>
      <c r="L138" s="5">
        <f>INDEX(products!$A$1:$G$49,MATCH(orders!$D138,products!$A$1:$A$49,0),MATCH(orders!L$1,products!$A$1:$G$1,0))</f>
        <v>2.9849999999999999</v>
      </c>
      <c r="M138">
        <f>L138*E138</f>
        <v>11.94</v>
      </c>
      <c r="N138" t="str">
        <f>IF(I138="Rob","Robusta",IF(I138="Exc","Excelsa",IF(I138="Ara","Arabica",IF(I138="Lib","Liberica",""))))</f>
        <v>Arabica</v>
      </c>
      <c r="O138" t="str">
        <f t="shared" si="2"/>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f>_xlfn.XLOOKUP(C139,customers!$A$1:$A$1001,customers!$C$1:$C$1001,,0)</f>
        <v>0</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9">
        <f>INDEX(products!$A$1:$G$49,MATCH(orders!$D139,products!$A$1:$A$49,0),MATCH(orders!K$1,products!$A$1:$G$1,0))</f>
        <v>2.5</v>
      </c>
      <c r="L139" s="5">
        <f>INDEX(products!$A$1:$G$49,MATCH(orders!$D139,products!$A$1:$A$49,0),MATCH(orders!L$1,products!$A$1:$G$1,0))</f>
        <v>34.154999999999994</v>
      </c>
      <c r="M139">
        <f>L139*E139</f>
        <v>102.46499999999997</v>
      </c>
      <c r="N139" t="str">
        <f>IF(I139="Rob","Robusta",IF(I139="Exc","Excelsa",IF(I139="Ara","Arabica",IF(I139="Lib","Liberica",""))))</f>
        <v>Excelsa</v>
      </c>
      <c r="O139" t="str">
        <f t="shared" si="2"/>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f>_xlfn.XLOOKUP(C140,customers!$A$1:$A$1001,customers!$C$1:$C$1001,,0)</f>
        <v>0</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9">
        <f>INDEX(products!$A$1:$G$49,MATCH(orders!$D140,products!$A$1:$A$49,0),MATCH(orders!K$1,products!$A$1:$G$1,0))</f>
        <v>1</v>
      </c>
      <c r="L140" s="5">
        <f>INDEX(products!$A$1:$G$49,MATCH(orders!$D140,products!$A$1:$A$49,0),MATCH(orders!L$1,products!$A$1:$G$1,0))</f>
        <v>12.15</v>
      </c>
      <c r="M140">
        <f>L140*E140</f>
        <v>48.6</v>
      </c>
      <c r="N140" t="str">
        <f>IF(I140="Rob","Robusta",IF(I140="Exc","Excelsa",IF(I140="Ara","Arabica",IF(I140="Lib","Liberica",""))))</f>
        <v>Excelsa</v>
      </c>
      <c r="O140" t="str">
        <f t="shared" si="2"/>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f>_xlfn.XLOOKUP(C141,customers!$A$1:$A$1001,customers!$C$1:$C$1001,,0)</f>
        <v>0</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9">
        <f>INDEX(products!$A$1:$G$49,MATCH(orders!$D141,products!$A$1:$A$49,0),MATCH(orders!K$1,products!$A$1:$G$1,0))</f>
        <v>1</v>
      </c>
      <c r="L141" s="5">
        <f>INDEX(products!$A$1:$G$49,MATCH(orders!$D141,products!$A$1:$A$49,0),MATCH(orders!L$1,products!$A$1:$G$1,0))</f>
        <v>12.95</v>
      </c>
      <c r="M141">
        <f>L141*E141</f>
        <v>77.699999999999989</v>
      </c>
      <c r="N141" t="str">
        <f>IF(I141="Rob","Robusta",IF(I141="Exc","Excelsa",IF(I141="Ara","Arabica",IF(I141="Lib","Liberica",""))))</f>
        <v>Liberica</v>
      </c>
      <c r="O141" t="str">
        <f t="shared" si="2"/>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9">
        <f>INDEX(products!$A$1:$G$49,MATCH(orders!$D142,products!$A$1:$A$49,0),MATCH(orders!K$1,products!$A$1:$G$1,0))</f>
        <v>2.5</v>
      </c>
      <c r="L142" s="5">
        <f>INDEX(products!$A$1:$G$49,MATCH(orders!$D142,products!$A$1:$A$49,0),MATCH(orders!L$1,products!$A$1:$G$1,0))</f>
        <v>29.784999999999997</v>
      </c>
      <c r="M142">
        <f>L142*E142</f>
        <v>29.784999999999997</v>
      </c>
      <c r="N142" t="str">
        <f>IF(I142="Rob","Robusta",IF(I142="Exc","Excelsa",IF(I142="Ara","Arabica",IF(I142="Lib","Liberica",""))))</f>
        <v>Liberica</v>
      </c>
      <c r="O142" t="str">
        <f t="shared" si="2"/>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9">
        <f>INDEX(products!$A$1:$G$49,MATCH(orders!$D143,products!$A$1:$A$49,0),MATCH(orders!K$1,products!$A$1:$G$1,0))</f>
        <v>0.2</v>
      </c>
      <c r="L143" s="5">
        <f>INDEX(products!$A$1:$G$49,MATCH(orders!$D143,products!$A$1:$A$49,0),MATCH(orders!L$1,products!$A$1:$G$1,0))</f>
        <v>3.8849999999999998</v>
      </c>
      <c r="M143">
        <f>L143*E143</f>
        <v>15.54</v>
      </c>
      <c r="N143" t="str">
        <f>IF(I143="Rob","Robusta",IF(I143="Exc","Excelsa",IF(I143="Ara","Arabica",IF(I143="Lib","Liberica",""))))</f>
        <v>Arabica</v>
      </c>
      <c r="O143" t="str">
        <f t="shared" si="2"/>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f>_xlfn.XLOOKUP(C144,customers!$A$1:$A$1001,customers!$C$1:$C$1001,,0)</f>
        <v>0</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9">
        <f>INDEX(products!$A$1:$G$49,MATCH(orders!$D144,products!$A$1:$A$49,0),MATCH(orders!K$1,products!$A$1:$G$1,0))</f>
        <v>2.5</v>
      </c>
      <c r="L144" s="5">
        <f>INDEX(products!$A$1:$G$49,MATCH(orders!$D144,products!$A$1:$A$49,0),MATCH(orders!L$1,products!$A$1:$G$1,0))</f>
        <v>34.154999999999994</v>
      </c>
      <c r="M144">
        <f>L144*E144</f>
        <v>136.61999999999998</v>
      </c>
      <c r="N144" t="str">
        <f>IF(I144="Rob","Robusta",IF(I144="Exc","Excelsa",IF(I144="Ara","Arabica",IF(I144="Lib","Liberica",""))))</f>
        <v>Excelsa</v>
      </c>
      <c r="O144" t="str">
        <f t="shared" si="2"/>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9">
        <f>INDEX(products!$A$1:$G$49,MATCH(orders!$D145,products!$A$1:$A$49,0),MATCH(orders!K$1,products!$A$1:$G$1,0))</f>
        <v>0.5</v>
      </c>
      <c r="L145" s="5">
        <f>INDEX(products!$A$1:$G$49,MATCH(orders!$D145,products!$A$1:$A$49,0),MATCH(orders!L$1,products!$A$1:$G$1,0))</f>
        <v>8.73</v>
      </c>
      <c r="M145">
        <f>L145*E145</f>
        <v>17.46</v>
      </c>
      <c r="N145" t="str">
        <f>IF(I145="Rob","Robusta",IF(I145="Exc","Excelsa",IF(I145="Ara","Arabica",IF(I145="Lib","Liberica",""))))</f>
        <v>Liberica</v>
      </c>
      <c r="O145" t="str">
        <f t="shared" si="2"/>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9">
        <f>INDEX(products!$A$1:$G$49,MATCH(orders!$D146,products!$A$1:$A$49,0),MATCH(orders!K$1,products!$A$1:$G$1,0))</f>
        <v>2.5</v>
      </c>
      <c r="L146" s="5">
        <f>INDEX(products!$A$1:$G$49,MATCH(orders!$D146,products!$A$1:$A$49,0),MATCH(orders!L$1,products!$A$1:$G$1,0))</f>
        <v>34.154999999999994</v>
      </c>
      <c r="M146">
        <f>L146*E146</f>
        <v>68.309999999999988</v>
      </c>
      <c r="N146" t="str">
        <f>IF(I146="Rob","Robusta",IF(I146="Exc","Excelsa",IF(I146="Ara","Arabica",IF(I146="Lib","Liberica",""))))</f>
        <v>Excelsa</v>
      </c>
      <c r="O146" t="str">
        <f t="shared" si="2"/>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9">
        <f>INDEX(products!$A$1:$G$49,MATCH(orders!$D147,products!$A$1:$A$49,0),MATCH(orders!K$1,products!$A$1:$G$1,0))</f>
        <v>0.2</v>
      </c>
      <c r="L147" s="5">
        <f>INDEX(products!$A$1:$G$49,MATCH(orders!$D147,products!$A$1:$A$49,0),MATCH(orders!L$1,products!$A$1:$G$1,0))</f>
        <v>4.3650000000000002</v>
      </c>
      <c r="M147">
        <f>L147*E147</f>
        <v>17.46</v>
      </c>
      <c r="N147" t="str">
        <f>IF(I147="Rob","Robusta",IF(I147="Exc","Excelsa",IF(I147="Ara","Arabica",IF(I147="Lib","Liberica",""))))</f>
        <v>Liberica</v>
      </c>
      <c r="O147" t="str">
        <f t="shared" si="2"/>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9">
        <f>INDEX(products!$A$1:$G$49,MATCH(orders!$D148,products!$A$1:$A$49,0),MATCH(orders!K$1,products!$A$1:$G$1,0))</f>
        <v>1</v>
      </c>
      <c r="L148" s="5">
        <f>INDEX(products!$A$1:$G$49,MATCH(orders!$D148,products!$A$1:$A$49,0),MATCH(orders!L$1,products!$A$1:$G$1,0))</f>
        <v>14.55</v>
      </c>
      <c r="M148">
        <f>L148*E148</f>
        <v>43.650000000000006</v>
      </c>
      <c r="N148" t="str">
        <f>IF(I148="Rob","Robusta",IF(I148="Exc","Excelsa",IF(I148="Ara","Arabica",IF(I148="Lib","Liberica",""))))</f>
        <v>Liberica</v>
      </c>
      <c r="O148" t="str">
        <f t="shared" si="2"/>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9">
        <f>INDEX(products!$A$1:$G$49,MATCH(orders!$D149,products!$A$1:$A$49,0),MATCH(orders!K$1,products!$A$1:$G$1,0))</f>
        <v>1</v>
      </c>
      <c r="L149" s="5">
        <f>INDEX(products!$A$1:$G$49,MATCH(orders!$D149,products!$A$1:$A$49,0),MATCH(orders!L$1,products!$A$1:$G$1,0))</f>
        <v>13.75</v>
      </c>
      <c r="M149">
        <f>L149*E149</f>
        <v>27.5</v>
      </c>
      <c r="N149" t="str">
        <f>IF(I149="Rob","Robusta",IF(I149="Exc","Excelsa",IF(I149="Ara","Arabica",IF(I149="Lib","Liberica",""))))</f>
        <v>Excelsa</v>
      </c>
      <c r="O149" t="str">
        <f t="shared" si="2"/>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9">
        <f>INDEX(products!$A$1:$G$49,MATCH(orders!$D150,products!$A$1:$A$49,0),MATCH(orders!K$1,products!$A$1:$G$1,0))</f>
        <v>0.2</v>
      </c>
      <c r="L150" s="5">
        <f>INDEX(products!$A$1:$G$49,MATCH(orders!$D150,products!$A$1:$A$49,0),MATCH(orders!L$1,products!$A$1:$G$1,0))</f>
        <v>3.645</v>
      </c>
      <c r="M150">
        <f>L150*E150</f>
        <v>18.225000000000001</v>
      </c>
      <c r="N150" t="str">
        <f>IF(I150="Rob","Robusta",IF(I150="Exc","Excelsa",IF(I150="Ara","Arabica",IF(I150="Lib","Liberica",""))))</f>
        <v>Excelsa</v>
      </c>
      <c r="O150" t="str">
        <f t="shared" si="2"/>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f>_xlfn.XLOOKUP(C151,customers!$A$1:$A$1001,customers!$C$1:$C$1001,,0)</f>
        <v>0</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9">
        <f>INDEX(products!$A$1:$G$49,MATCH(orders!$D151,products!$A$1:$A$49,0),MATCH(orders!K$1,products!$A$1:$G$1,0))</f>
        <v>2.5</v>
      </c>
      <c r="L151" s="5">
        <f>INDEX(products!$A$1:$G$49,MATCH(orders!$D151,products!$A$1:$A$49,0),MATCH(orders!L$1,products!$A$1:$G$1,0))</f>
        <v>25.874999999999996</v>
      </c>
      <c r="M151">
        <f>L151*E151</f>
        <v>51.749999999999993</v>
      </c>
      <c r="N151" t="str">
        <f>IF(I151="Rob","Robusta",IF(I151="Exc","Excelsa",IF(I151="Ara","Arabica",IF(I151="Lib","Liberica",""))))</f>
        <v>Arabica</v>
      </c>
      <c r="O151" t="str">
        <f t="shared" si="2"/>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9">
        <f>INDEX(products!$A$1:$G$49,MATCH(orders!$D152,products!$A$1:$A$49,0),MATCH(orders!K$1,products!$A$1:$G$1,0))</f>
        <v>1</v>
      </c>
      <c r="L152" s="5">
        <f>INDEX(products!$A$1:$G$49,MATCH(orders!$D152,products!$A$1:$A$49,0),MATCH(orders!L$1,products!$A$1:$G$1,0))</f>
        <v>12.95</v>
      </c>
      <c r="M152">
        <f>L152*E152</f>
        <v>12.95</v>
      </c>
      <c r="N152" t="str">
        <f>IF(I152="Rob","Robusta",IF(I152="Exc","Excelsa",IF(I152="Ara","Arabica",IF(I152="Lib","Liberica",""))))</f>
        <v>Liberica</v>
      </c>
      <c r="O152" t="str">
        <f t="shared" si="2"/>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f>_xlfn.XLOOKUP(C153,customers!$A$1:$A$1001,customers!$C$1:$C$1001,,0)</f>
        <v>0</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9">
        <f>INDEX(products!$A$1:$G$49,MATCH(orders!$D153,products!$A$1:$A$49,0),MATCH(orders!K$1,products!$A$1:$G$1,0))</f>
        <v>1</v>
      </c>
      <c r="L153" s="5">
        <f>INDEX(products!$A$1:$G$49,MATCH(orders!$D153,products!$A$1:$A$49,0),MATCH(orders!L$1,products!$A$1:$G$1,0))</f>
        <v>11.25</v>
      </c>
      <c r="M153">
        <f>L153*E153</f>
        <v>33.75</v>
      </c>
      <c r="N153" t="str">
        <f>IF(I153="Rob","Robusta",IF(I153="Exc","Excelsa",IF(I153="Ara","Arabica",IF(I153="Lib","Liberica",""))))</f>
        <v>Arabica</v>
      </c>
      <c r="O153" t="str">
        <f t="shared" si="2"/>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9">
        <f>INDEX(products!$A$1:$G$49,MATCH(orders!$D154,products!$A$1:$A$49,0),MATCH(orders!K$1,products!$A$1:$G$1,0))</f>
        <v>2.5</v>
      </c>
      <c r="L154" s="5">
        <f>INDEX(products!$A$1:$G$49,MATCH(orders!$D154,products!$A$1:$A$49,0),MATCH(orders!L$1,products!$A$1:$G$1,0))</f>
        <v>22.884999999999998</v>
      </c>
      <c r="M154">
        <f>L154*E154</f>
        <v>68.655000000000001</v>
      </c>
      <c r="N154" t="str">
        <f>IF(I154="Rob","Robusta",IF(I154="Exc","Excelsa",IF(I154="Ara","Arabica",IF(I154="Lib","Liberica",""))))</f>
        <v>Robusta</v>
      </c>
      <c r="O154" t="str">
        <f t="shared" si="2"/>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f>_xlfn.XLOOKUP(C155,customers!$A$1:$A$1001,customers!$C$1:$C$1001,,0)</f>
        <v>0</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9">
        <f>INDEX(products!$A$1:$G$49,MATCH(orders!$D155,products!$A$1:$A$49,0),MATCH(orders!K$1,products!$A$1:$G$1,0))</f>
        <v>0.2</v>
      </c>
      <c r="L155" s="5">
        <f>INDEX(products!$A$1:$G$49,MATCH(orders!$D155,products!$A$1:$A$49,0),MATCH(orders!L$1,products!$A$1:$G$1,0))</f>
        <v>2.6849999999999996</v>
      </c>
      <c r="M155">
        <f>L155*E155</f>
        <v>2.6849999999999996</v>
      </c>
      <c r="N155" t="str">
        <f>IF(I155="Rob","Robusta",IF(I155="Exc","Excelsa",IF(I155="Ara","Arabica",IF(I155="Lib","Liberica",""))))</f>
        <v>Robusta</v>
      </c>
      <c r="O155" t="str">
        <f t="shared" si="2"/>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9">
        <f>INDEX(products!$A$1:$G$49,MATCH(orders!$D156,products!$A$1:$A$49,0),MATCH(orders!K$1,products!$A$1:$G$1,0))</f>
        <v>2.5</v>
      </c>
      <c r="L156" s="5">
        <f>INDEX(products!$A$1:$G$49,MATCH(orders!$D156,products!$A$1:$A$49,0),MATCH(orders!L$1,products!$A$1:$G$1,0))</f>
        <v>22.884999999999998</v>
      </c>
      <c r="M156">
        <f>L156*E156</f>
        <v>114.42499999999998</v>
      </c>
      <c r="N156" t="str">
        <f>IF(I156="Rob","Robusta",IF(I156="Exc","Excelsa",IF(I156="Ara","Arabica",IF(I156="Lib","Liberica",""))))</f>
        <v>Arabica</v>
      </c>
      <c r="O156" t="str">
        <f t="shared" si="2"/>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9">
        <f>INDEX(products!$A$1:$G$49,MATCH(orders!$D157,products!$A$1:$A$49,0),MATCH(orders!K$1,products!$A$1:$G$1,0))</f>
        <v>2.5</v>
      </c>
      <c r="L157" s="5">
        <f>INDEX(products!$A$1:$G$49,MATCH(orders!$D157,products!$A$1:$A$49,0),MATCH(orders!L$1,products!$A$1:$G$1,0))</f>
        <v>25.874999999999996</v>
      </c>
      <c r="M157">
        <f>L157*E157</f>
        <v>155.24999999999997</v>
      </c>
      <c r="N157" t="str">
        <f>IF(I157="Rob","Robusta",IF(I157="Exc","Excelsa",IF(I157="Ara","Arabica",IF(I157="Lib","Liberica",""))))</f>
        <v>Arabica</v>
      </c>
      <c r="O157" t="str">
        <f t="shared" si="2"/>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9">
        <f>INDEX(products!$A$1:$G$49,MATCH(orders!$D158,products!$A$1:$A$49,0),MATCH(orders!K$1,products!$A$1:$G$1,0))</f>
        <v>2.5</v>
      </c>
      <c r="L158" s="5">
        <f>INDEX(products!$A$1:$G$49,MATCH(orders!$D158,products!$A$1:$A$49,0),MATCH(orders!L$1,products!$A$1:$G$1,0))</f>
        <v>25.874999999999996</v>
      </c>
      <c r="M158">
        <f>L158*E158</f>
        <v>77.624999999999986</v>
      </c>
      <c r="N158" t="str">
        <f>IF(I158="Rob","Robusta",IF(I158="Exc","Excelsa",IF(I158="Ara","Arabica",IF(I158="Lib","Liberica",""))))</f>
        <v>Arabica</v>
      </c>
      <c r="O158" t="str">
        <f t="shared" si="2"/>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9">
        <f>INDEX(products!$A$1:$G$49,MATCH(orders!$D159,products!$A$1:$A$49,0),MATCH(orders!K$1,products!$A$1:$G$1,0))</f>
        <v>2.5</v>
      </c>
      <c r="L159" s="5">
        <f>INDEX(products!$A$1:$G$49,MATCH(orders!$D159,products!$A$1:$A$49,0),MATCH(orders!L$1,products!$A$1:$G$1,0))</f>
        <v>20.584999999999997</v>
      </c>
      <c r="M159">
        <f>L159*E159</f>
        <v>61.754999999999995</v>
      </c>
      <c r="N159" t="str">
        <f>IF(I159="Rob","Robusta",IF(I159="Exc","Excelsa",IF(I159="Ara","Arabica",IF(I159="Lib","Liberica",""))))</f>
        <v>Robusta</v>
      </c>
      <c r="O159" t="str">
        <f t="shared" si="2"/>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f>_xlfn.XLOOKUP(C160,customers!$A$1:$A$1001,customers!$C$1:$C$1001,,0)</f>
        <v>0</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9">
        <f>INDEX(products!$A$1:$G$49,MATCH(orders!$D160,products!$A$1:$A$49,0),MATCH(orders!K$1,products!$A$1:$G$1,0))</f>
        <v>2.5</v>
      </c>
      <c r="L160" s="5">
        <f>INDEX(products!$A$1:$G$49,MATCH(orders!$D160,products!$A$1:$A$49,0),MATCH(orders!L$1,products!$A$1:$G$1,0))</f>
        <v>20.584999999999997</v>
      </c>
      <c r="M160">
        <f>L160*E160</f>
        <v>123.50999999999999</v>
      </c>
      <c r="N160" t="str">
        <f>IF(I160="Rob","Robusta",IF(I160="Exc","Excelsa",IF(I160="Ara","Arabica",IF(I160="Lib","Liberica",""))))</f>
        <v>Robusta</v>
      </c>
      <c r="O160" t="str">
        <f t="shared" si="2"/>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f>_xlfn.XLOOKUP(C161,customers!$A$1:$A$1001,customers!$C$1:$C$1001,,0)</f>
        <v>0</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9">
        <f>INDEX(products!$A$1:$G$49,MATCH(orders!$D161,products!$A$1:$A$49,0),MATCH(orders!K$1,products!$A$1:$G$1,0))</f>
        <v>2.5</v>
      </c>
      <c r="L161" s="5">
        <f>INDEX(products!$A$1:$G$49,MATCH(orders!$D161,products!$A$1:$A$49,0),MATCH(orders!L$1,products!$A$1:$G$1,0))</f>
        <v>36.454999999999998</v>
      </c>
      <c r="M161">
        <f>L161*E161</f>
        <v>218.73</v>
      </c>
      <c r="N161" t="str">
        <f>IF(I161="Rob","Robusta",IF(I161="Exc","Excelsa",IF(I161="Ara","Arabica",IF(I161="Lib","Liberica",""))))</f>
        <v>Liberica</v>
      </c>
      <c r="O161" t="str">
        <f t="shared" si="2"/>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9">
        <f>INDEX(products!$A$1:$G$49,MATCH(orders!$D162,products!$A$1:$A$49,0),MATCH(orders!K$1,products!$A$1:$G$1,0))</f>
        <v>0.5</v>
      </c>
      <c r="L162" s="5">
        <f>INDEX(products!$A$1:$G$49,MATCH(orders!$D162,products!$A$1:$A$49,0),MATCH(orders!L$1,products!$A$1:$G$1,0))</f>
        <v>8.25</v>
      </c>
      <c r="M162">
        <f>L162*E162</f>
        <v>33</v>
      </c>
      <c r="N162" t="str">
        <f>IF(I162="Rob","Robusta",IF(I162="Exc","Excelsa",IF(I162="Ara","Arabica",IF(I162="Lib","Liberica",""))))</f>
        <v>Excelsa</v>
      </c>
      <c r="O162" t="str">
        <f t="shared" si="2"/>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9">
        <f>INDEX(products!$A$1:$G$49,MATCH(orders!$D163,products!$A$1:$A$49,0),MATCH(orders!K$1,products!$A$1:$G$1,0))</f>
        <v>0.5</v>
      </c>
      <c r="L163" s="5">
        <f>INDEX(products!$A$1:$G$49,MATCH(orders!$D163,products!$A$1:$A$49,0),MATCH(orders!L$1,products!$A$1:$G$1,0))</f>
        <v>7.77</v>
      </c>
      <c r="M163">
        <f>L163*E163</f>
        <v>23.31</v>
      </c>
      <c r="N163" t="str">
        <f>IF(I163="Rob","Robusta",IF(I163="Exc","Excelsa",IF(I163="Ara","Arabica",IF(I163="Lib","Liberica",""))))</f>
        <v>Arabica</v>
      </c>
      <c r="O163" t="str">
        <f t="shared" si="2"/>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9">
        <f>INDEX(products!$A$1:$G$49,MATCH(orders!$D164,products!$A$1:$A$49,0),MATCH(orders!K$1,products!$A$1:$G$1,0))</f>
        <v>0.5</v>
      </c>
      <c r="L164" s="5">
        <f>INDEX(products!$A$1:$G$49,MATCH(orders!$D164,products!$A$1:$A$49,0),MATCH(orders!L$1,products!$A$1:$G$1,0))</f>
        <v>7.29</v>
      </c>
      <c r="M164">
        <f>L164*E164</f>
        <v>21.87</v>
      </c>
      <c r="N164" t="str">
        <f>IF(I164="Rob","Robusta",IF(I164="Exc","Excelsa",IF(I164="Ara","Arabica",IF(I164="Lib","Liberica",""))))</f>
        <v>Excelsa</v>
      </c>
      <c r="O164" t="str">
        <f t="shared" si="2"/>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9">
        <f>INDEX(products!$A$1:$G$49,MATCH(orders!$D165,products!$A$1:$A$49,0),MATCH(orders!K$1,products!$A$1:$G$1,0))</f>
        <v>0.2</v>
      </c>
      <c r="L165" s="5">
        <f>INDEX(products!$A$1:$G$49,MATCH(orders!$D165,products!$A$1:$A$49,0),MATCH(orders!L$1,products!$A$1:$G$1,0))</f>
        <v>2.6849999999999996</v>
      </c>
      <c r="M165">
        <f>L165*E165</f>
        <v>16.11</v>
      </c>
      <c r="N165" t="str">
        <f>IF(I165="Rob","Robusta",IF(I165="Exc","Excelsa",IF(I165="Ara","Arabica",IF(I165="Lib","Liberica",""))))</f>
        <v>Robusta</v>
      </c>
      <c r="O165" t="str">
        <f t="shared" si="2"/>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9">
        <f>INDEX(products!$A$1:$G$49,MATCH(orders!$D166,products!$A$1:$A$49,0),MATCH(orders!K$1,products!$A$1:$G$1,0))</f>
        <v>0.5</v>
      </c>
      <c r="L166" s="5">
        <f>INDEX(products!$A$1:$G$49,MATCH(orders!$D166,products!$A$1:$A$49,0),MATCH(orders!L$1,products!$A$1:$G$1,0))</f>
        <v>7.29</v>
      </c>
      <c r="M166">
        <f>L166*E166</f>
        <v>29.16</v>
      </c>
      <c r="N166" t="str">
        <f>IF(I166="Rob","Robusta",IF(I166="Exc","Excelsa",IF(I166="Ara","Arabica",IF(I166="Lib","Liberica",""))))</f>
        <v>Excelsa</v>
      </c>
      <c r="O166" t="str">
        <f t="shared" si="2"/>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f>_xlfn.XLOOKUP(C167,customers!$A$1:$A$1001,customers!$C$1:$C$1001,,0)</f>
        <v>0</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9">
        <f>INDEX(products!$A$1:$G$49,MATCH(orders!$D167,products!$A$1:$A$49,0),MATCH(orders!K$1,products!$A$1:$G$1,0))</f>
        <v>1</v>
      </c>
      <c r="L167" s="5">
        <f>INDEX(products!$A$1:$G$49,MATCH(orders!$D167,products!$A$1:$A$49,0),MATCH(orders!L$1,products!$A$1:$G$1,0))</f>
        <v>8.9499999999999993</v>
      </c>
      <c r="M167">
        <f>L167*E167</f>
        <v>53.699999999999996</v>
      </c>
      <c r="N167" t="str">
        <f>IF(I167="Rob","Robusta",IF(I167="Exc","Excelsa",IF(I167="Ara","Arabica",IF(I167="Lib","Liberica",""))))</f>
        <v>Robusta</v>
      </c>
      <c r="O167" t="str">
        <f t="shared" si="2"/>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f>_xlfn.XLOOKUP(C168,customers!$A$1:$A$1001,customers!$C$1:$C$1001,,0)</f>
        <v>0</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9">
        <f>INDEX(products!$A$1:$G$49,MATCH(orders!$D168,products!$A$1:$A$49,0),MATCH(orders!K$1,products!$A$1:$G$1,0))</f>
        <v>0.5</v>
      </c>
      <c r="L168" s="5">
        <f>INDEX(products!$A$1:$G$49,MATCH(orders!$D168,products!$A$1:$A$49,0),MATCH(orders!L$1,products!$A$1:$G$1,0))</f>
        <v>5.3699999999999992</v>
      </c>
      <c r="M168">
        <f>L168*E168</f>
        <v>26.849999999999994</v>
      </c>
      <c r="N168" t="str">
        <f>IF(I168="Rob","Robusta",IF(I168="Exc","Excelsa",IF(I168="Ara","Arabica",IF(I168="Lib","Liberica",""))))</f>
        <v>Robusta</v>
      </c>
      <c r="O168" t="str">
        <f t="shared" si="2"/>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9">
        <f>INDEX(products!$A$1:$G$49,MATCH(orders!$D169,products!$A$1:$A$49,0),MATCH(orders!K$1,products!$A$1:$G$1,0))</f>
        <v>0.5</v>
      </c>
      <c r="L169" s="5">
        <f>INDEX(products!$A$1:$G$49,MATCH(orders!$D169,products!$A$1:$A$49,0),MATCH(orders!L$1,products!$A$1:$G$1,0))</f>
        <v>8.25</v>
      </c>
      <c r="M169">
        <f>L169*E169</f>
        <v>41.25</v>
      </c>
      <c r="N169" t="str">
        <f>IF(I169="Rob","Robusta",IF(I169="Exc","Excelsa",IF(I169="Ara","Arabica",IF(I169="Lib","Liberica",""))))</f>
        <v>Excelsa</v>
      </c>
      <c r="O169" t="str">
        <f t="shared" si="2"/>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f>_xlfn.XLOOKUP(C170,customers!$A$1:$A$1001,customers!$C$1:$C$1001,,0)</f>
        <v>0</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9">
        <f>INDEX(products!$A$1:$G$49,MATCH(orders!$D170,products!$A$1:$A$49,0),MATCH(orders!K$1,products!$A$1:$G$1,0))</f>
        <v>0.5</v>
      </c>
      <c r="L170" s="5">
        <f>INDEX(products!$A$1:$G$49,MATCH(orders!$D170,products!$A$1:$A$49,0),MATCH(orders!L$1,products!$A$1:$G$1,0))</f>
        <v>6.75</v>
      </c>
      <c r="M170">
        <f>L170*E170</f>
        <v>40.5</v>
      </c>
      <c r="N170" t="str">
        <f>IF(I170="Rob","Robusta",IF(I170="Exc","Excelsa",IF(I170="Ara","Arabica",IF(I170="Lib","Liberica",""))))</f>
        <v>Arabica</v>
      </c>
      <c r="O170" t="str">
        <f t="shared" si="2"/>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9">
        <f>INDEX(products!$A$1:$G$49,MATCH(orders!$D171,products!$A$1:$A$49,0),MATCH(orders!K$1,products!$A$1:$G$1,0))</f>
        <v>1</v>
      </c>
      <c r="L171" s="5">
        <f>INDEX(products!$A$1:$G$49,MATCH(orders!$D171,products!$A$1:$A$49,0),MATCH(orders!L$1,products!$A$1:$G$1,0))</f>
        <v>8.9499999999999993</v>
      </c>
      <c r="M171">
        <f>L171*E171</f>
        <v>17.899999999999999</v>
      </c>
      <c r="N171" t="str">
        <f>IF(I171="Rob","Robusta",IF(I171="Exc","Excelsa",IF(I171="Ara","Arabica",IF(I171="Lib","Liberica",""))))</f>
        <v>Robusta</v>
      </c>
      <c r="O171" t="str">
        <f t="shared" si="2"/>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9">
        <f>INDEX(products!$A$1:$G$49,MATCH(orders!$D172,products!$A$1:$A$49,0),MATCH(orders!K$1,products!$A$1:$G$1,0))</f>
        <v>2.5</v>
      </c>
      <c r="L172" s="5">
        <f>INDEX(products!$A$1:$G$49,MATCH(orders!$D172,products!$A$1:$A$49,0),MATCH(orders!L$1,products!$A$1:$G$1,0))</f>
        <v>34.154999999999994</v>
      </c>
      <c r="M172">
        <f>L172*E172</f>
        <v>68.309999999999988</v>
      </c>
      <c r="N172" t="str">
        <f>IF(I172="Rob","Robusta",IF(I172="Exc","Excelsa",IF(I172="Ara","Arabica",IF(I172="Lib","Liberica",""))))</f>
        <v>Excelsa</v>
      </c>
      <c r="O172" t="str">
        <f t="shared" si="2"/>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9">
        <f>INDEX(products!$A$1:$G$49,MATCH(orders!$D173,products!$A$1:$A$49,0),MATCH(orders!K$1,products!$A$1:$G$1,0))</f>
        <v>2.5</v>
      </c>
      <c r="L173" s="5">
        <f>INDEX(products!$A$1:$G$49,MATCH(orders!$D173,products!$A$1:$A$49,0),MATCH(orders!L$1,products!$A$1:$G$1,0))</f>
        <v>31.624999999999996</v>
      </c>
      <c r="M173">
        <f>L173*E173</f>
        <v>63.249999999999993</v>
      </c>
      <c r="N173" t="str">
        <f>IF(I173="Rob","Robusta",IF(I173="Exc","Excelsa",IF(I173="Ara","Arabica",IF(I173="Lib","Liberica",""))))</f>
        <v>Excelsa</v>
      </c>
      <c r="O173" t="str">
        <f t="shared" si="2"/>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9">
        <f>INDEX(products!$A$1:$G$49,MATCH(orders!$D174,products!$A$1:$A$49,0),MATCH(orders!K$1,products!$A$1:$G$1,0))</f>
        <v>0.5</v>
      </c>
      <c r="L174" s="5">
        <f>INDEX(products!$A$1:$G$49,MATCH(orders!$D174,products!$A$1:$A$49,0),MATCH(orders!L$1,products!$A$1:$G$1,0))</f>
        <v>7.29</v>
      </c>
      <c r="M174">
        <f>L174*E174</f>
        <v>21.87</v>
      </c>
      <c r="N174" t="str">
        <f>IF(I174="Rob","Robusta",IF(I174="Exc","Excelsa",IF(I174="Ara","Arabica",IF(I174="Lib","Liberica",""))))</f>
        <v>Excelsa</v>
      </c>
      <c r="O174" t="str">
        <f t="shared" si="2"/>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9">
        <f>INDEX(products!$A$1:$G$49,MATCH(orders!$D175,products!$A$1:$A$49,0),MATCH(orders!K$1,products!$A$1:$G$1,0))</f>
        <v>2.5</v>
      </c>
      <c r="L175" s="5">
        <f>INDEX(products!$A$1:$G$49,MATCH(orders!$D175,products!$A$1:$A$49,0),MATCH(orders!L$1,products!$A$1:$G$1,0))</f>
        <v>22.884999999999998</v>
      </c>
      <c r="M175">
        <f>L175*E175</f>
        <v>91.539999999999992</v>
      </c>
      <c r="N175" t="str">
        <f>IF(I175="Rob","Robusta",IF(I175="Exc","Excelsa",IF(I175="Ara","Arabica",IF(I175="Lib","Liberica",""))))</f>
        <v>Robusta</v>
      </c>
      <c r="O175" t="str">
        <f t="shared" si="2"/>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f>_xlfn.XLOOKUP(C176,customers!$A$1:$A$1001,customers!$C$1:$C$1001,,0)</f>
        <v>0</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9">
        <f>INDEX(products!$A$1:$G$49,MATCH(orders!$D176,products!$A$1:$A$49,0),MATCH(orders!K$1,products!$A$1:$G$1,0))</f>
        <v>2.5</v>
      </c>
      <c r="L176" s="5">
        <f>INDEX(products!$A$1:$G$49,MATCH(orders!$D176,products!$A$1:$A$49,0),MATCH(orders!L$1,products!$A$1:$G$1,0))</f>
        <v>34.154999999999994</v>
      </c>
      <c r="M176">
        <f>L176*E176</f>
        <v>204.92999999999995</v>
      </c>
      <c r="N176" t="str">
        <f>IF(I176="Rob","Robusta",IF(I176="Exc","Excelsa",IF(I176="Ara","Arabica",IF(I176="Lib","Liberica",""))))</f>
        <v>Excelsa</v>
      </c>
      <c r="O176" t="str">
        <f t="shared" si="2"/>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9">
        <f>INDEX(products!$A$1:$G$49,MATCH(orders!$D177,products!$A$1:$A$49,0),MATCH(orders!K$1,products!$A$1:$G$1,0))</f>
        <v>2.5</v>
      </c>
      <c r="L177" s="5">
        <f>INDEX(products!$A$1:$G$49,MATCH(orders!$D177,products!$A$1:$A$49,0),MATCH(orders!L$1,products!$A$1:$G$1,0))</f>
        <v>31.624999999999996</v>
      </c>
      <c r="M177">
        <f>L177*E177</f>
        <v>63.249999999999993</v>
      </c>
      <c r="N177" t="str">
        <f>IF(I177="Rob","Robusta",IF(I177="Exc","Excelsa",IF(I177="Ara","Arabica",IF(I177="Lib","Liberica",""))))</f>
        <v>Excelsa</v>
      </c>
      <c r="O177" t="str">
        <f t="shared" si="2"/>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9">
        <f>INDEX(products!$A$1:$G$49,MATCH(orders!$D178,products!$A$1:$A$49,0),MATCH(orders!K$1,products!$A$1:$G$1,0))</f>
        <v>2.5</v>
      </c>
      <c r="L178" s="5">
        <f>INDEX(products!$A$1:$G$49,MATCH(orders!$D178,products!$A$1:$A$49,0),MATCH(orders!L$1,products!$A$1:$G$1,0))</f>
        <v>34.154999999999994</v>
      </c>
      <c r="M178">
        <f>L178*E178</f>
        <v>34.154999999999994</v>
      </c>
      <c r="N178" t="str">
        <f>IF(I178="Rob","Robusta",IF(I178="Exc","Excelsa",IF(I178="Ara","Arabica",IF(I178="Lib","Liberica",""))))</f>
        <v>Excelsa</v>
      </c>
      <c r="O178" t="str">
        <f t="shared" si="2"/>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9">
        <f>INDEX(products!$A$1:$G$49,MATCH(orders!$D179,products!$A$1:$A$49,0),MATCH(orders!K$1,products!$A$1:$G$1,0))</f>
        <v>2.5</v>
      </c>
      <c r="L179" s="5">
        <f>INDEX(products!$A$1:$G$49,MATCH(orders!$D179,products!$A$1:$A$49,0),MATCH(orders!L$1,products!$A$1:$G$1,0))</f>
        <v>27.484999999999996</v>
      </c>
      <c r="M179">
        <f>L179*E179</f>
        <v>109.93999999999998</v>
      </c>
      <c r="N179" t="str">
        <f>IF(I179="Rob","Robusta",IF(I179="Exc","Excelsa",IF(I179="Ara","Arabica",IF(I179="Lib","Liberica",""))))</f>
        <v>Robusta</v>
      </c>
      <c r="O179" t="str">
        <f t="shared" si="2"/>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9">
        <f>INDEX(products!$A$1:$G$49,MATCH(orders!$D180,products!$A$1:$A$49,0),MATCH(orders!K$1,products!$A$1:$G$1,0))</f>
        <v>1</v>
      </c>
      <c r="L180" s="5">
        <f>INDEX(products!$A$1:$G$49,MATCH(orders!$D180,products!$A$1:$A$49,0),MATCH(orders!L$1,products!$A$1:$G$1,0))</f>
        <v>12.95</v>
      </c>
      <c r="M180">
        <f>L180*E180</f>
        <v>25.9</v>
      </c>
      <c r="N180" t="str">
        <f>IF(I180="Rob","Robusta",IF(I180="Exc","Excelsa",IF(I180="Ara","Arabica",IF(I180="Lib","Liberica",""))))</f>
        <v>Arabica</v>
      </c>
      <c r="O180" t="str">
        <f t="shared" si="2"/>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f>_xlfn.XLOOKUP(C181,customers!$A$1:$A$1001,customers!$C$1:$C$1001,,0)</f>
        <v>0</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9">
        <f>INDEX(products!$A$1:$G$49,MATCH(orders!$D181,products!$A$1:$A$49,0),MATCH(orders!K$1,products!$A$1:$G$1,0))</f>
        <v>0.2</v>
      </c>
      <c r="L181" s="5">
        <f>INDEX(products!$A$1:$G$49,MATCH(orders!$D181,products!$A$1:$A$49,0),MATCH(orders!L$1,products!$A$1:$G$1,0))</f>
        <v>2.9849999999999999</v>
      </c>
      <c r="M181">
        <f>L181*E181</f>
        <v>2.9849999999999999</v>
      </c>
      <c r="N181" t="str">
        <f>IF(I181="Rob","Robusta",IF(I181="Exc","Excelsa",IF(I181="Ara","Arabica",IF(I181="Lib","Liberica",""))))</f>
        <v>Arabica</v>
      </c>
      <c r="O181" t="str">
        <f t="shared" si="2"/>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9">
        <f>INDEX(products!$A$1:$G$49,MATCH(orders!$D182,products!$A$1:$A$49,0),MATCH(orders!K$1,products!$A$1:$G$1,0))</f>
        <v>0.2</v>
      </c>
      <c r="L182" s="5">
        <f>INDEX(products!$A$1:$G$49,MATCH(orders!$D182,products!$A$1:$A$49,0),MATCH(orders!L$1,products!$A$1:$G$1,0))</f>
        <v>4.4550000000000001</v>
      </c>
      <c r="M182">
        <f>L182*E182</f>
        <v>22.274999999999999</v>
      </c>
      <c r="N182" t="str">
        <f>IF(I182="Rob","Robusta",IF(I182="Exc","Excelsa",IF(I182="Ara","Arabica",IF(I182="Lib","Liberica",""))))</f>
        <v>Excelsa</v>
      </c>
      <c r="O182" t="str">
        <f t="shared" si="2"/>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9">
        <f>INDEX(products!$A$1:$G$49,MATCH(orders!$D183,products!$A$1:$A$49,0),MATCH(orders!K$1,products!$A$1:$G$1,0))</f>
        <v>0.5</v>
      </c>
      <c r="L183" s="5">
        <f>INDEX(products!$A$1:$G$49,MATCH(orders!$D183,products!$A$1:$A$49,0),MATCH(orders!L$1,products!$A$1:$G$1,0))</f>
        <v>5.97</v>
      </c>
      <c r="M183">
        <f>L183*E183</f>
        <v>29.849999999999998</v>
      </c>
      <c r="N183" t="str">
        <f>IF(I183="Rob","Robusta",IF(I183="Exc","Excelsa",IF(I183="Ara","Arabica",IF(I183="Lib","Liberica",""))))</f>
        <v>Arabica</v>
      </c>
      <c r="O183" t="str">
        <f t="shared" si="2"/>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9">
        <f>INDEX(products!$A$1:$G$49,MATCH(orders!$D184,products!$A$1:$A$49,0),MATCH(orders!K$1,products!$A$1:$G$1,0))</f>
        <v>0.5</v>
      </c>
      <c r="L184" s="5">
        <f>INDEX(products!$A$1:$G$49,MATCH(orders!$D184,products!$A$1:$A$49,0),MATCH(orders!L$1,products!$A$1:$G$1,0))</f>
        <v>5.3699999999999992</v>
      </c>
      <c r="M184">
        <f>L184*E184</f>
        <v>32.22</v>
      </c>
      <c r="N184" t="str">
        <f>IF(I184="Rob","Robusta",IF(I184="Exc","Excelsa",IF(I184="Ara","Arabica",IF(I184="Lib","Liberica",""))))</f>
        <v>Robusta</v>
      </c>
      <c r="O184" t="str">
        <f t="shared" si="2"/>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9">
        <f>INDEX(products!$A$1:$G$49,MATCH(orders!$D185,products!$A$1:$A$49,0),MATCH(orders!K$1,products!$A$1:$G$1,0))</f>
        <v>0.2</v>
      </c>
      <c r="L185" s="5">
        <f>INDEX(products!$A$1:$G$49,MATCH(orders!$D185,products!$A$1:$A$49,0),MATCH(orders!L$1,products!$A$1:$G$1,0))</f>
        <v>4.125</v>
      </c>
      <c r="M185">
        <f>L185*E185</f>
        <v>8.25</v>
      </c>
      <c r="N185" t="str">
        <f>IF(I185="Rob","Robusta",IF(I185="Exc","Excelsa",IF(I185="Ara","Arabica",IF(I185="Lib","Liberica",""))))</f>
        <v>Excelsa</v>
      </c>
      <c r="O185" t="str">
        <f t="shared" si="2"/>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9">
        <f>INDEX(products!$A$1:$G$49,MATCH(orders!$D186,products!$A$1:$A$49,0),MATCH(orders!K$1,products!$A$1:$G$1,0))</f>
        <v>0.5</v>
      </c>
      <c r="L186" s="5">
        <f>INDEX(products!$A$1:$G$49,MATCH(orders!$D186,products!$A$1:$A$49,0),MATCH(orders!L$1,products!$A$1:$G$1,0))</f>
        <v>7.77</v>
      </c>
      <c r="M186">
        <f>L186*E186</f>
        <v>31.08</v>
      </c>
      <c r="N186" t="str">
        <f>IF(I186="Rob","Robusta",IF(I186="Exc","Excelsa",IF(I186="Ara","Arabica",IF(I186="Lib","Liberica",""))))</f>
        <v>Arabica</v>
      </c>
      <c r="O186" t="str">
        <f t="shared" si="2"/>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9">
        <f>INDEX(products!$A$1:$G$49,MATCH(orders!$D187,products!$A$1:$A$49,0),MATCH(orders!K$1,products!$A$1:$G$1,0))</f>
        <v>0.5</v>
      </c>
      <c r="L187" s="5">
        <f>INDEX(products!$A$1:$G$49,MATCH(orders!$D187,products!$A$1:$A$49,0),MATCH(orders!L$1,products!$A$1:$G$1,0))</f>
        <v>7.29</v>
      </c>
      <c r="M187">
        <f>L187*E187</f>
        <v>36.450000000000003</v>
      </c>
      <c r="N187" t="str">
        <f>IF(I187="Rob","Robusta",IF(I187="Exc","Excelsa",IF(I187="Ara","Arabica",IF(I187="Lib","Liberica",""))))</f>
        <v>Excelsa</v>
      </c>
      <c r="O187" t="str">
        <f t="shared" si="2"/>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9">
        <f>INDEX(products!$A$1:$G$49,MATCH(orders!$D188,products!$A$1:$A$49,0),MATCH(orders!K$1,products!$A$1:$G$1,0))</f>
        <v>2.5</v>
      </c>
      <c r="L188" s="5">
        <f>INDEX(products!$A$1:$G$49,MATCH(orders!$D188,products!$A$1:$A$49,0),MATCH(orders!L$1,products!$A$1:$G$1,0))</f>
        <v>22.884999999999998</v>
      </c>
      <c r="M188">
        <f>L188*E188</f>
        <v>68.655000000000001</v>
      </c>
      <c r="N188" t="str">
        <f>IF(I188="Rob","Robusta",IF(I188="Exc","Excelsa",IF(I188="Ara","Arabica",IF(I188="Lib","Liberica",""))))</f>
        <v>Robusta</v>
      </c>
      <c r="O188" t="str">
        <f t="shared" si="2"/>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9">
        <f>INDEX(products!$A$1:$G$49,MATCH(orders!$D189,products!$A$1:$A$49,0),MATCH(orders!K$1,products!$A$1:$G$1,0))</f>
        <v>0.5</v>
      </c>
      <c r="L189" s="5">
        <f>INDEX(products!$A$1:$G$49,MATCH(orders!$D189,products!$A$1:$A$49,0),MATCH(orders!L$1,products!$A$1:$G$1,0))</f>
        <v>8.73</v>
      </c>
      <c r="M189">
        <f>L189*E189</f>
        <v>43.650000000000006</v>
      </c>
      <c r="N189" t="str">
        <f>IF(I189="Rob","Robusta",IF(I189="Exc","Excelsa",IF(I189="Ara","Arabica",IF(I189="Lib","Liberica",""))))</f>
        <v>Liberica</v>
      </c>
      <c r="O189" t="str">
        <f t="shared" si="2"/>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9">
        <f>INDEX(products!$A$1:$G$49,MATCH(orders!$D190,products!$A$1:$A$49,0),MATCH(orders!K$1,products!$A$1:$G$1,0))</f>
        <v>0.2</v>
      </c>
      <c r="L190" s="5">
        <f>INDEX(products!$A$1:$G$49,MATCH(orders!$D190,products!$A$1:$A$49,0),MATCH(orders!L$1,products!$A$1:$G$1,0))</f>
        <v>4.4550000000000001</v>
      </c>
      <c r="M190">
        <f>L190*E190</f>
        <v>4.4550000000000001</v>
      </c>
      <c r="N190" t="str">
        <f>IF(I190="Rob","Robusta",IF(I190="Exc","Excelsa",IF(I190="Ara","Arabica",IF(I190="Lib","Liberica",""))))</f>
        <v>Excelsa</v>
      </c>
      <c r="O190" t="str">
        <f t="shared" si="2"/>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9">
        <f>INDEX(products!$A$1:$G$49,MATCH(orders!$D191,products!$A$1:$A$49,0),MATCH(orders!K$1,products!$A$1:$G$1,0))</f>
        <v>1</v>
      </c>
      <c r="L191" s="5">
        <f>INDEX(products!$A$1:$G$49,MATCH(orders!$D191,products!$A$1:$A$49,0),MATCH(orders!L$1,products!$A$1:$G$1,0))</f>
        <v>14.55</v>
      </c>
      <c r="M191">
        <f>L191*E191</f>
        <v>43.650000000000006</v>
      </c>
      <c r="N191" t="str">
        <f>IF(I191="Rob","Robusta",IF(I191="Exc","Excelsa",IF(I191="Ara","Arabica",IF(I191="Lib","Liberica",""))))</f>
        <v>Liberica</v>
      </c>
      <c r="O191" t="str">
        <f t="shared" si="2"/>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9">
        <f>INDEX(products!$A$1:$G$49,MATCH(orders!$D192,products!$A$1:$A$49,0),MATCH(orders!K$1,products!$A$1:$G$1,0))</f>
        <v>2.5</v>
      </c>
      <c r="L192" s="5">
        <f>INDEX(products!$A$1:$G$49,MATCH(orders!$D192,products!$A$1:$A$49,0),MATCH(orders!L$1,products!$A$1:$G$1,0))</f>
        <v>33.464999999999996</v>
      </c>
      <c r="M192">
        <f>L192*E192</f>
        <v>33.464999999999996</v>
      </c>
      <c r="N192" t="str">
        <f>IF(I192="Rob","Robusta",IF(I192="Exc","Excelsa",IF(I192="Ara","Arabica",IF(I192="Lib","Liberica",""))))</f>
        <v>Liberica</v>
      </c>
      <c r="O192" t="str">
        <f t="shared" si="2"/>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9">
        <f>INDEX(products!$A$1:$G$49,MATCH(orders!$D193,products!$A$1:$A$49,0),MATCH(orders!K$1,products!$A$1:$G$1,0))</f>
        <v>0.2</v>
      </c>
      <c r="L193" s="5">
        <f>INDEX(products!$A$1:$G$49,MATCH(orders!$D193,products!$A$1:$A$49,0),MATCH(orders!L$1,products!$A$1:$G$1,0))</f>
        <v>3.8849999999999998</v>
      </c>
      <c r="M193">
        <f>L193*E193</f>
        <v>19.424999999999997</v>
      </c>
      <c r="N193" t="str">
        <f>IF(I193="Rob","Robusta",IF(I193="Exc","Excelsa",IF(I193="Ara","Arabica",IF(I193="Lib","Liberica",""))))</f>
        <v>Liberica</v>
      </c>
      <c r="O193" t="str">
        <f t="shared" si="2"/>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9">
        <f>INDEX(products!$A$1:$G$49,MATCH(orders!$D194,products!$A$1:$A$49,0),MATCH(orders!K$1,products!$A$1:$G$1,0))</f>
        <v>1</v>
      </c>
      <c r="L194" s="5">
        <f>INDEX(products!$A$1:$G$49,MATCH(orders!$D194,products!$A$1:$A$49,0),MATCH(orders!L$1,products!$A$1:$G$1,0))</f>
        <v>12.15</v>
      </c>
      <c r="M194">
        <f>L194*E194</f>
        <v>72.900000000000006</v>
      </c>
      <c r="N194" t="str">
        <f>IF(I194="Rob","Robusta",IF(I194="Exc","Excelsa",IF(I194="Ara","Arabica",IF(I194="Lib","Liberica",""))))</f>
        <v>Excelsa</v>
      </c>
      <c r="O194" t="str">
        <f t="shared" si="2"/>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f>_xlfn.XLOOKUP(C195,customers!$A$1:$A$1001,customers!$C$1:$C$1001,,0)</f>
        <v>0</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9">
        <f>INDEX(products!$A$1:$G$49,MATCH(orders!$D195,products!$A$1:$A$49,0),MATCH(orders!K$1,products!$A$1:$G$1,0))</f>
        <v>1</v>
      </c>
      <c r="L195" s="5">
        <f>INDEX(products!$A$1:$G$49,MATCH(orders!$D195,products!$A$1:$A$49,0),MATCH(orders!L$1,products!$A$1:$G$1,0))</f>
        <v>14.85</v>
      </c>
      <c r="M195">
        <f>L195*E195</f>
        <v>44.55</v>
      </c>
      <c r="N195" t="str">
        <f>IF(I195="Rob","Robusta",IF(I195="Exc","Excelsa",IF(I195="Ara","Arabica",IF(I195="Lib","Liberica",""))))</f>
        <v>Excelsa</v>
      </c>
      <c r="O195" t="str">
        <f t="shared" ref="O195:O258" si="3">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9">
        <f>INDEX(products!$A$1:$G$49,MATCH(orders!$D196,products!$A$1:$A$49,0),MATCH(orders!K$1,products!$A$1:$G$1,0))</f>
        <v>0.5</v>
      </c>
      <c r="L196" s="5">
        <f>INDEX(products!$A$1:$G$49,MATCH(orders!$D196,products!$A$1:$A$49,0),MATCH(orders!L$1,products!$A$1:$G$1,0))</f>
        <v>7.29</v>
      </c>
      <c r="M196">
        <f>L196*E196</f>
        <v>36.450000000000003</v>
      </c>
      <c r="N196" t="str">
        <f>IF(I196="Rob","Robusta",IF(I196="Exc","Excelsa",IF(I196="Ara","Arabica",IF(I196="Lib","Liberica",""))))</f>
        <v>Excelsa</v>
      </c>
      <c r="O196" t="str">
        <f t="shared" si="3"/>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9">
        <f>INDEX(products!$A$1:$G$49,MATCH(orders!$D197,products!$A$1:$A$49,0),MATCH(orders!K$1,products!$A$1:$G$1,0))</f>
        <v>1</v>
      </c>
      <c r="L197" s="5">
        <f>INDEX(products!$A$1:$G$49,MATCH(orders!$D197,products!$A$1:$A$49,0),MATCH(orders!L$1,products!$A$1:$G$1,0))</f>
        <v>12.95</v>
      </c>
      <c r="M197">
        <f>L197*E197</f>
        <v>38.849999999999994</v>
      </c>
      <c r="N197" t="str">
        <f>IF(I197="Rob","Robusta",IF(I197="Exc","Excelsa",IF(I197="Ara","Arabica",IF(I197="Lib","Liberica",""))))</f>
        <v>Arabica</v>
      </c>
      <c r="O197" t="str">
        <f t="shared" si="3"/>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9">
        <f>INDEX(products!$A$1:$G$49,MATCH(orders!$D198,products!$A$1:$A$49,0),MATCH(orders!K$1,products!$A$1:$G$1,0))</f>
        <v>0.5</v>
      </c>
      <c r="L198" s="5">
        <f>INDEX(products!$A$1:$G$49,MATCH(orders!$D198,products!$A$1:$A$49,0),MATCH(orders!L$1,products!$A$1:$G$1,0))</f>
        <v>8.91</v>
      </c>
      <c r="M198">
        <f>L198*E198</f>
        <v>53.46</v>
      </c>
      <c r="N198" t="str">
        <f>IF(I198="Rob","Robusta",IF(I198="Exc","Excelsa",IF(I198="Ara","Arabica",IF(I198="Lib","Liberica",""))))</f>
        <v>Excelsa</v>
      </c>
      <c r="O198" t="str">
        <f t="shared" si="3"/>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9">
        <f>INDEX(products!$A$1:$G$49,MATCH(orders!$D199,products!$A$1:$A$49,0),MATCH(orders!K$1,products!$A$1:$G$1,0))</f>
        <v>2.5</v>
      </c>
      <c r="L199" s="5">
        <f>INDEX(products!$A$1:$G$49,MATCH(orders!$D199,products!$A$1:$A$49,0),MATCH(orders!L$1,products!$A$1:$G$1,0))</f>
        <v>29.784999999999997</v>
      </c>
      <c r="M199">
        <f>L199*E199</f>
        <v>59.569999999999993</v>
      </c>
      <c r="N199" t="str">
        <f>IF(I199="Rob","Robusta",IF(I199="Exc","Excelsa",IF(I199="Ara","Arabica",IF(I199="Lib","Liberica",""))))</f>
        <v>Liberica</v>
      </c>
      <c r="O199" t="str">
        <f t="shared" si="3"/>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9">
        <f>INDEX(products!$A$1:$G$49,MATCH(orders!$D200,products!$A$1:$A$49,0),MATCH(orders!K$1,products!$A$1:$G$1,0))</f>
        <v>2.5</v>
      </c>
      <c r="L200" s="5">
        <f>INDEX(products!$A$1:$G$49,MATCH(orders!$D200,products!$A$1:$A$49,0),MATCH(orders!L$1,products!$A$1:$G$1,0))</f>
        <v>29.784999999999997</v>
      </c>
      <c r="M200">
        <f>L200*E200</f>
        <v>89.35499999999999</v>
      </c>
      <c r="N200" t="str">
        <f>IF(I200="Rob","Robusta",IF(I200="Exc","Excelsa",IF(I200="Ara","Arabica",IF(I200="Lib","Liberica",""))))</f>
        <v>Liberica</v>
      </c>
      <c r="O200" t="str">
        <f t="shared" si="3"/>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9">
        <f>INDEX(products!$A$1:$G$49,MATCH(orders!$D201,products!$A$1:$A$49,0),MATCH(orders!K$1,products!$A$1:$G$1,0))</f>
        <v>0.5</v>
      </c>
      <c r="L201" s="5">
        <f>INDEX(products!$A$1:$G$49,MATCH(orders!$D201,products!$A$1:$A$49,0),MATCH(orders!L$1,products!$A$1:$G$1,0))</f>
        <v>9.51</v>
      </c>
      <c r="M201">
        <f>L201*E201</f>
        <v>38.04</v>
      </c>
      <c r="N201" t="str">
        <f>IF(I201="Rob","Robusta",IF(I201="Exc","Excelsa",IF(I201="Ara","Arabica",IF(I201="Lib","Liberica",""))))</f>
        <v>Liberica</v>
      </c>
      <c r="O201" t="str">
        <f t="shared" si="3"/>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9">
        <f>INDEX(products!$A$1:$G$49,MATCH(orders!$D202,products!$A$1:$A$49,0),MATCH(orders!K$1,products!$A$1:$G$1,0))</f>
        <v>1</v>
      </c>
      <c r="L202" s="5">
        <f>INDEX(products!$A$1:$G$49,MATCH(orders!$D202,products!$A$1:$A$49,0),MATCH(orders!L$1,products!$A$1:$G$1,0))</f>
        <v>13.75</v>
      </c>
      <c r="M202">
        <f>L202*E202</f>
        <v>41.25</v>
      </c>
      <c r="N202" t="str">
        <f>IF(I202="Rob","Robusta",IF(I202="Exc","Excelsa",IF(I202="Ara","Arabica",IF(I202="Lib","Liberica",""))))</f>
        <v>Excelsa</v>
      </c>
      <c r="O202" t="str">
        <f t="shared" si="3"/>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f>_xlfn.XLOOKUP(C203,customers!$A$1:$A$1001,customers!$C$1:$C$1001,,0)</f>
        <v>0</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9">
        <f>INDEX(products!$A$1:$G$49,MATCH(orders!$D203,products!$A$1:$A$49,0),MATCH(orders!K$1,products!$A$1:$G$1,0))</f>
        <v>0.5</v>
      </c>
      <c r="L203" s="5">
        <f>INDEX(products!$A$1:$G$49,MATCH(orders!$D203,products!$A$1:$A$49,0),MATCH(orders!L$1,products!$A$1:$G$1,0))</f>
        <v>9.51</v>
      </c>
      <c r="M203">
        <f>L203*E203</f>
        <v>57.06</v>
      </c>
      <c r="N203" t="str">
        <f>IF(I203="Rob","Robusta",IF(I203="Exc","Excelsa",IF(I203="Ara","Arabica",IF(I203="Lib","Liberica",""))))</f>
        <v>Liberica</v>
      </c>
      <c r="O203" t="str">
        <f t="shared" si="3"/>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9">
        <f>INDEX(products!$A$1:$G$49,MATCH(orders!$D204,products!$A$1:$A$49,0),MATCH(orders!K$1,products!$A$1:$G$1,0))</f>
        <v>2.5</v>
      </c>
      <c r="L204" s="5">
        <f>INDEX(products!$A$1:$G$49,MATCH(orders!$D204,products!$A$1:$A$49,0),MATCH(orders!L$1,products!$A$1:$G$1,0))</f>
        <v>29.784999999999997</v>
      </c>
      <c r="M204">
        <f>L204*E204</f>
        <v>178.70999999999998</v>
      </c>
      <c r="N204" t="str">
        <f>IF(I204="Rob","Robusta",IF(I204="Exc","Excelsa",IF(I204="Ara","Arabica",IF(I204="Lib","Liberica",""))))</f>
        <v>Liberica</v>
      </c>
      <c r="O204" t="str">
        <f t="shared" si="3"/>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9">
        <f>INDEX(products!$A$1:$G$49,MATCH(orders!$D205,products!$A$1:$A$49,0),MATCH(orders!K$1,products!$A$1:$G$1,0))</f>
        <v>0.2</v>
      </c>
      <c r="L205" s="5">
        <f>INDEX(products!$A$1:$G$49,MATCH(orders!$D205,products!$A$1:$A$49,0),MATCH(orders!L$1,products!$A$1:$G$1,0))</f>
        <v>4.7549999999999999</v>
      </c>
      <c r="M205">
        <f>L205*E205</f>
        <v>4.7549999999999999</v>
      </c>
      <c r="N205" t="str">
        <f>IF(I205="Rob","Robusta",IF(I205="Exc","Excelsa",IF(I205="Ara","Arabica",IF(I205="Lib","Liberica",""))))</f>
        <v>Liberica</v>
      </c>
      <c r="O205" t="str">
        <f t="shared" si="3"/>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f>_xlfn.XLOOKUP(C206,customers!$A$1:$A$1001,customers!$C$1:$C$1001,,0)</f>
        <v>0</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9">
        <f>INDEX(products!$A$1:$G$49,MATCH(orders!$D206,products!$A$1:$A$49,0),MATCH(orders!K$1,products!$A$1:$G$1,0))</f>
        <v>1</v>
      </c>
      <c r="L206" s="5">
        <f>INDEX(products!$A$1:$G$49,MATCH(orders!$D206,products!$A$1:$A$49,0),MATCH(orders!L$1,products!$A$1:$G$1,0))</f>
        <v>13.75</v>
      </c>
      <c r="M206">
        <f>L206*E206</f>
        <v>82.5</v>
      </c>
      <c r="N206" t="str">
        <f>IF(I206="Rob","Robusta",IF(I206="Exc","Excelsa",IF(I206="Ara","Arabica",IF(I206="Lib","Liberica",""))))</f>
        <v>Excelsa</v>
      </c>
      <c r="O206" t="str">
        <f t="shared" si="3"/>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f>_xlfn.XLOOKUP(C207,customers!$A$1:$A$1001,customers!$C$1:$C$1001,,0)</f>
        <v>0</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9">
        <f>INDEX(products!$A$1:$G$49,MATCH(orders!$D207,products!$A$1:$A$49,0),MATCH(orders!K$1,products!$A$1:$G$1,0))</f>
        <v>0.2</v>
      </c>
      <c r="L207" s="5">
        <f>INDEX(products!$A$1:$G$49,MATCH(orders!$D207,products!$A$1:$A$49,0),MATCH(orders!L$1,products!$A$1:$G$1,0))</f>
        <v>2.6849999999999996</v>
      </c>
      <c r="M207">
        <f>L207*E207</f>
        <v>8.0549999999999997</v>
      </c>
      <c r="N207" t="str">
        <f>IF(I207="Rob","Robusta",IF(I207="Exc","Excelsa",IF(I207="Ara","Arabica",IF(I207="Lib","Liberica",""))))</f>
        <v>Robusta</v>
      </c>
      <c r="O207" t="str">
        <f t="shared" si="3"/>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9">
        <f>INDEX(products!$A$1:$G$49,MATCH(orders!$D208,products!$A$1:$A$49,0),MATCH(orders!K$1,products!$A$1:$G$1,0))</f>
        <v>1</v>
      </c>
      <c r="L208" s="5">
        <f>INDEX(products!$A$1:$G$49,MATCH(orders!$D208,products!$A$1:$A$49,0),MATCH(orders!L$1,products!$A$1:$G$1,0))</f>
        <v>11.25</v>
      </c>
      <c r="M208">
        <f>L208*E208</f>
        <v>22.5</v>
      </c>
      <c r="N208" t="str">
        <f>IF(I208="Rob","Robusta",IF(I208="Exc","Excelsa",IF(I208="Ara","Arabica",IF(I208="Lib","Liberica",""))))</f>
        <v>Arabica</v>
      </c>
      <c r="O208" t="str">
        <f t="shared" si="3"/>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9">
        <f>INDEX(products!$A$1:$G$49,MATCH(orders!$D209,products!$A$1:$A$49,0),MATCH(orders!K$1,products!$A$1:$G$1,0))</f>
        <v>0.5</v>
      </c>
      <c r="L209" s="5">
        <f>INDEX(products!$A$1:$G$49,MATCH(orders!$D209,products!$A$1:$A$49,0),MATCH(orders!L$1,products!$A$1:$G$1,0))</f>
        <v>6.75</v>
      </c>
      <c r="M209">
        <f>L209*E209</f>
        <v>40.5</v>
      </c>
      <c r="N209" t="str">
        <f>IF(I209="Rob","Robusta",IF(I209="Exc","Excelsa",IF(I209="Ara","Arabica",IF(I209="Lib","Liberica",""))))</f>
        <v>Arabica</v>
      </c>
      <c r="O209" t="str">
        <f t="shared" si="3"/>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9">
        <f>INDEX(products!$A$1:$G$49,MATCH(orders!$D210,products!$A$1:$A$49,0),MATCH(orders!K$1,products!$A$1:$G$1,0))</f>
        <v>0.5</v>
      </c>
      <c r="L210" s="5">
        <f>INDEX(products!$A$1:$G$49,MATCH(orders!$D210,products!$A$1:$A$49,0),MATCH(orders!L$1,products!$A$1:$G$1,0))</f>
        <v>7.29</v>
      </c>
      <c r="M210">
        <f>L210*E210</f>
        <v>29.16</v>
      </c>
      <c r="N210" t="str">
        <f>IF(I210="Rob","Robusta",IF(I210="Exc","Excelsa",IF(I210="Ara","Arabica",IF(I210="Lib","Liberica",""))))</f>
        <v>Excelsa</v>
      </c>
      <c r="O210" t="str">
        <f t="shared" si="3"/>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9">
        <f>INDEX(products!$A$1:$G$49,MATCH(orders!$D211,products!$A$1:$A$49,0),MATCH(orders!K$1,products!$A$1:$G$1,0))</f>
        <v>0.5</v>
      </c>
      <c r="L211" s="5">
        <f>INDEX(products!$A$1:$G$49,MATCH(orders!$D211,products!$A$1:$A$49,0),MATCH(orders!L$1,products!$A$1:$G$1,0))</f>
        <v>6.75</v>
      </c>
      <c r="M211">
        <f>L211*E211</f>
        <v>6.75</v>
      </c>
      <c r="N211" t="str">
        <f>IF(I211="Rob","Robusta",IF(I211="Exc","Excelsa",IF(I211="Ara","Arabica",IF(I211="Lib","Liberica",""))))</f>
        <v>Arabica</v>
      </c>
      <c r="O211" t="str">
        <f t="shared" si="3"/>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9">
        <f>INDEX(products!$A$1:$G$49,MATCH(orders!$D212,products!$A$1:$A$49,0),MATCH(orders!K$1,products!$A$1:$G$1,0))</f>
        <v>1</v>
      </c>
      <c r="L212" s="5">
        <f>INDEX(products!$A$1:$G$49,MATCH(orders!$D212,products!$A$1:$A$49,0),MATCH(orders!L$1,products!$A$1:$G$1,0))</f>
        <v>12.95</v>
      </c>
      <c r="M212">
        <f>L212*E212</f>
        <v>51.8</v>
      </c>
      <c r="N212" t="str">
        <f>IF(I212="Rob","Robusta",IF(I212="Exc","Excelsa",IF(I212="Ara","Arabica",IF(I212="Lib","Liberica",""))))</f>
        <v>Liberica</v>
      </c>
      <c r="O212" t="str">
        <f t="shared" si="3"/>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9">
        <f>INDEX(products!$A$1:$G$49,MATCH(orders!$D213,products!$A$1:$A$49,0),MATCH(orders!K$1,products!$A$1:$G$1,0))</f>
        <v>0.5</v>
      </c>
      <c r="L213" s="5">
        <f>INDEX(products!$A$1:$G$49,MATCH(orders!$D213,products!$A$1:$A$49,0),MATCH(orders!L$1,products!$A$1:$G$1,0))</f>
        <v>8.91</v>
      </c>
      <c r="M213">
        <f>L213*E213</f>
        <v>53.46</v>
      </c>
      <c r="N213" t="str">
        <f>IF(I213="Rob","Robusta",IF(I213="Exc","Excelsa",IF(I213="Ara","Arabica",IF(I213="Lib","Liberica",""))))</f>
        <v>Excelsa</v>
      </c>
      <c r="O213" t="str">
        <f t="shared" si="3"/>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9">
        <f>INDEX(products!$A$1:$G$49,MATCH(orders!$D214,products!$A$1:$A$49,0),MATCH(orders!K$1,products!$A$1:$G$1,0))</f>
        <v>0.2</v>
      </c>
      <c r="L214" s="5">
        <f>INDEX(products!$A$1:$G$49,MATCH(orders!$D214,products!$A$1:$A$49,0),MATCH(orders!L$1,products!$A$1:$G$1,0))</f>
        <v>3.645</v>
      </c>
      <c r="M214">
        <f>L214*E214</f>
        <v>14.58</v>
      </c>
      <c r="N214" t="str">
        <f>IF(I214="Rob","Robusta",IF(I214="Exc","Excelsa",IF(I214="Ara","Arabica",IF(I214="Lib","Liberica",""))))</f>
        <v>Excelsa</v>
      </c>
      <c r="O214" t="str">
        <f t="shared" si="3"/>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9">
        <f>INDEX(products!$A$1:$G$49,MATCH(orders!$D215,products!$A$1:$A$49,0),MATCH(orders!K$1,products!$A$1:$G$1,0))</f>
        <v>2.5</v>
      </c>
      <c r="L215" s="5">
        <f>INDEX(products!$A$1:$G$49,MATCH(orders!$D215,products!$A$1:$A$49,0),MATCH(orders!L$1,products!$A$1:$G$1,0))</f>
        <v>20.584999999999997</v>
      </c>
      <c r="M215">
        <f>L215*E215</f>
        <v>20.584999999999997</v>
      </c>
      <c r="N215" t="str">
        <f>IF(I215="Rob","Robusta",IF(I215="Exc","Excelsa",IF(I215="Ara","Arabica",IF(I215="Lib","Liberica",""))))</f>
        <v>Robusta</v>
      </c>
      <c r="O215" t="str">
        <f t="shared" si="3"/>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9">
        <f>INDEX(products!$A$1:$G$49,MATCH(orders!$D216,products!$A$1:$A$49,0),MATCH(orders!K$1,products!$A$1:$G$1,0))</f>
        <v>1</v>
      </c>
      <c r="L216" s="5">
        <f>INDEX(products!$A$1:$G$49,MATCH(orders!$D216,products!$A$1:$A$49,0),MATCH(orders!L$1,products!$A$1:$G$1,0))</f>
        <v>15.85</v>
      </c>
      <c r="M216">
        <f>L216*E216</f>
        <v>31.7</v>
      </c>
      <c r="N216" t="str">
        <f>IF(I216="Rob","Robusta",IF(I216="Exc","Excelsa",IF(I216="Ara","Arabica",IF(I216="Lib","Liberica",""))))</f>
        <v>Liberica</v>
      </c>
      <c r="O216" t="str">
        <f t="shared" si="3"/>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9">
        <f>INDEX(products!$A$1:$G$49,MATCH(orders!$D217,products!$A$1:$A$49,0),MATCH(orders!K$1,products!$A$1:$G$1,0))</f>
        <v>0.2</v>
      </c>
      <c r="L217" s="5">
        <f>INDEX(products!$A$1:$G$49,MATCH(orders!$D217,products!$A$1:$A$49,0),MATCH(orders!L$1,products!$A$1:$G$1,0))</f>
        <v>3.8849999999999998</v>
      </c>
      <c r="M217">
        <f>L217*E217</f>
        <v>23.31</v>
      </c>
      <c r="N217" t="str">
        <f>IF(I217="Rob","Robusta",IF(I217="Exc","Excelsa",IF(I217="Ara","Arabica",IF(I217="Lib","Liberica",""))))</f>
        <v>Liberica</v>
      </c>
      <c r="O217" t="str">
        <f t="shared" si="3"/>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9">
        <f>INDEX(products!$A$1:$G$49,MATCH(orders!$D218,products!$A$1:$A$49,0),MATCH(orders!K$1,products!$A$1:$G$1,0))</f>
        <v>1</v>
      </c>
      <c r="L218" s="5">
        <f>INDEX(products!$A$1:$G$49,MATCH(orders!$D218,products!$A$1:$A$49,0),MATCH(orders!L$1,products!$A$1:$G$1,0))</f>
        <v>14.55</v>
      </c>
      <c r="M218">
        <f>L218*E218</f>
        <v>58.2</v>
      </c>
      <c r="N218" t="str">
        <f>IF(I218="Rob","Robusta",IF(I218="Exc","Excelsa",IF(I218="Ara","Arabica",IF(I218="Lib","Liberica",""))))</f>
        <v>Liberica</v>
      </c>
      <c r="O218" t="str">
        <f t="shared" si="3"/>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9">
        <f>INDEX(products!$A$1:$G$49,MATCH(orders!$D219,products!$A$1:$A$49,0),MATCH(orders!K$1,products!$A$1:$G$1,0))</f>
        <v>0.5</v>
      </c>
      <c r="L219" s="5">
        <f>INDEX(products!$A$1:$G$49,MATCH(orders!$D219,products!$A$1:$A$49,0),MATCH(orders!L$1,products!$A$1:$G$1,0))</f>
        <v>8.91</v>
      </c>
      <c r="M219">
        <f>L219*E219</f>
        <v>35.64</v>
      </c>
      <c r="N219" t="str">
        <f>IF(I219="Rob","Robusta",IF(I219="Exc","Excelsa",IF(I219="Ara","Arabica",IF(I219="Lib","Liberica",""))))</f>
        <v>Excelsa</v>
      </c>
      <c r="O219" t="str">
        <f t="shared" si="3"/>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9">
        <f>INDEX(products!$A$1:$G$49,MATCH(orders!$D220,products!$A$1:$A$49,0),MATCH(orders!K$1,products!$A$1:$G$1,0))</f>
        <v>1</v>
      </c>
      <c r="L220" s="5">
        <f>INDEX(products!$A$1:$G$49,MATCH(orders!$D220,products!$A$1:$A$49,0),MATCH(orders!L$1,products!$A$1:$G$1,0))</f>
        <v>11.25</v>
      </c>
      <c r="M220">
        <f>L220*E220</f>
        <v>56.25</v>
      </c>
      <c r="N220" t="str">
        <f>IF(I220="Rob","Robusta",IF(I220="Exc","Excelsa",IF(I220="Ara","Arabica",IF(I220="Lib","Liberica",""))))</f>
        <v>Arabica</v>
      </c>
      <c r="O220" t="str">
        <f t="shared" si="3"/>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9">
        <f>INDEX(products!$A$1:$G$49,MATCH(orders!$D221,products!$A$1:$A$49,0),MATCH(orders!K$1,products!$A$1:$G$1,0))</f>
        <v>0.2</v>
      </c>
      <c r="L221" s="5">
        <f>INDEX(products!$A$1:$G$49,MATCH(orders!$D221,products!$A$1:$A$49,0),MATCH(orders!L$1,products!$A$1:$G$1,0))</f>
        <v>3.5849999999999995</v>
      </c>
      <c r="M221">
        <f>L221*E221</f>
        <v>10.754999999999999</v>
      </c>
      <c r="N221" t="str">
        <f>IF(I221="Rob","Robusta",IF(I221="Exc","Excelsa",IF(I221="Ara","Arabica",IF(I221="Lib","Liberica",""))))</f>
        <v>Robusta</v>
      </c>
      <c r="O221" t="str">
        <f t="shared" si="3"/>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9">
        <f>INDEX(products!$A$1:$G$49,MATCH(orders!$D222,products!$A$1:$A$49,0),MATCH(orders!K$1,products!$A$1:$G$1,0))</f>
        <v>0.2</v>
      </c>
      <c r="L222" s="5">
        <f>INDEX(products!$A$1:$G$49,MATCH(orders!$D222,products!$A$1:$A$49,0),MATCH(orders!L$1,products!$A$1:$G$1,0))</f>
        <v>2.9849999999999999</v>
      </c>
      <c r="M222">
        <f>L222*E222</f>
        <v>14.924999999999999</v>
      </c>
      <c r="N222" t="str">
        <f>IF(I222="Rob","Robusta",IF(I222="Exc","Excelsa",IF(I222="Ara","Arabica",IF(I222="Lib","Liberica",""))))</f>
        <v>Robusta</v>
      </c>
      <c r="O222" t="str">
        <f t="shared" si="3"/>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9">
        <f>INDEX(products!$A$1:$G$49,MATCH(orders!$D223,products!$A$1:$A$49,0),MATCH(orders!K$1,products!$A$1:$G$1,0))</f>
        <v>1</v>
      </c>
      <c r="L223" s="5">
        <f>INDEX(products!$A$1:$G$49,MATCH(orders!$D223,products!$A$1:$A$49,0),MATCH(orders!L$1,products!$A$1:$G$1,0))</f>
        <v>12.95</v>
      </c>
      <c r="M223">
        <f>L223*E223</f>
        <v>77.699999999999989</v>
      </c>
      <c r="N223" t="str">
        <f>IF(I223="Rob","Robusta",IF(I223="Exc","Excelsa",IF(I223="Ara","Arabica",IF(I223="Lib","Liberica",""))))</f>
        <v>Arabica</v>
      </c>
      <c r="O223" t="str">
        <f t="shared" si="3"/>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9">
        <f>INDEX(products!$A$1:$G$49,MATCH(orders!$D224,products!$A$1:$A$49,0),MATCH(orders!K$1,products!$A$1:$G$1,0))</f>
        <v>0.5</v>
      </c>
      <c r="L224" s="5">
        <f>INDEX(products!$A$1:$G$49,MATCH(orders!$D224,products!$A$1:$A$49,0),MATCH(orders!L$1,products!$A$1:$G$1,0))</f>
        <v>7.77</v>
      </c>
      <c r="M224">
        <f>L224*E224</f>
        <v>23.31</v>
      </c>
      <c r="N224" t="str">
        <f>IF(I224="Rob","Robusta",IF(I224="Exc","Excelsa",IF(I224="Ara","Arabica",IF(I224="Lib","Liberica",""))))</f>
        <v>Liberica</v>
      </c>
      <c r="O224" t="str">
        <f t="shared" si="3"/>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f>_xlfn.XLOOKUP(C225,customers!$A$1:$A$1001,customers!$C$1:$C$1001,,0)</f>
        <v>0</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9">
        <f>INDEX(products!$A$1:$G$49,MATCH(orders!$D225,products!$A$1:$A$49,0),MATCH(orders!K$1,products!$A$1:$G$1,0))</f>
        <v>1</v>
      </c>
      <c r="L225" s="5">
        <f>INDEX(products!$A$1:$G$49,MATCH(orders!$D225,products!$A$1:$A$49,0),MATCH(orders!L$1,products!$A$1:$G$1,0))</f>
        <v>14.85</v>
      </c>
      <c r="M225">
        <f>L225*E225</f>
        <v>59.4</v>
      </c>
      <c r="N225" t="str">
        <f>IF(I225="Rob","Robusta",IF(I225="Exc","Excelsa",IF(I225="Ara","Arabica",IF(I225="Lib","Liberica",""))))</f>
        <v>Excelsa</v>
      </c>
      <c r="O225" t="str">
        <f t="shared" si="3"/>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9">
        <f>INDEX(products!$A$1:$G$49,MATCH(orders!$D226,products!$A$1:$A$49,0),MATCH(orders!K$1,products!$A$1:$G$1,0))</f>
        <v>2.5</v>
      </c>
      <c r="L226" s="5">
        <f>INDEX(products!$A$1:$G$49,MATCH(orders!$D226,products!$A$1:$A$49,0),MATCH(orders!L$1,products!$A$1:$G$1,0))</f>
        <v>29.784999999999997</v>
      </c>
      <c r="M226">
        <f>L226*E226</f>
        <v>119.13999999999999</v>
      </c>
      <c r="N226" t="str">
        <f>IF(I226="Rob","Robusta",IF(I226="Exc","Excelsa",IF(I226="Ara","Arabica",IF(I226="Lib","Liberica",""))))</f>
        <v>Liberica</v>
      </c>
      <c r="O226" t="str">
        <f t="shared" si="3"/>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9">
        <f>INDEX(products!$A$1:$G$49,MATCH(orders!$D227,products!$A$1:$A$49,0),MATCH(orders!K$1,products!$A$1:$G$1,0))</f>
        <v>0.2</v>
      </c>
      <c r="L227" s="5">
        <f>INDEX(products!$A$1:$G$49,MATCH(orders!$D227,products!$A$1:$A$49,0),MATCH(orders!L$1,products!$A$1:$G$1,0))</f>
        <v>3.5849999999999995</v>
      </c>
      <c r="M227">
        <f>L227*E227</f>
        <v>14.339999999999998</v>
      </c>
      <c r="N227" t="str">
        <f>IF(I227="Rob","Robusta",IF(I227="Exc","Excelsa",IF(I227="Ara","Arabica",IF(I227="Lib","Liberica",""))))</f>
        <v>Robusta</v>
      </c>
      <c r="O227" t="str">
        <f t="shared" si="3"/>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9">
        <f>INDEX(products!$A$1:$G$49,MATCH(orders!$D228,products!$A$1:$A$49,0),MATCH(orders!K$1,products!$A$1:$G$1,0))</f>
        <v>2.5</v>
      </c>
      <c r="L228" s="5">
        <f>INDEX(products!$A$1:$G$49,MATCH(orders!$D228,products!$A$1:$A$49,0),MATCH(orders!L$1,products!$A$1:$G$1,0))</f>
        <v>25.874999999999996</v>
      </c>
      <c r="M228">
        <f>L228*E228</f>
        <v>129.37499999999997</v>
      </c>
      <c r="N228" t="str">
        <f>IF(I228="Rob","Robusta",IF(I228="Exc","Excelsa",IF(I228="Ara","Arabica",IF(I228="Lib","Liberica",""))))</f>
        <v>Arabica</v>
      </c>
      <c r="O228" t="str">
        <f t="shared" si="3"/>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9">
        <f>INDEX(products!$A$1:$G$49,MATCH(orders!$D229,products!$A$1:$A$49,0),MATCH(orders!K$1,products!$A$1:$G$1,0))</f>
        <v>0.2</v>
      </c>
      <c r="L229" s="5">
        <f>INDEX(products!$A$1:$G$49,MATCH(orders!$D229,products!$A$1:$A$49,0),MATCH(orders!L$1,products!$A$1:$G$1,0))</f>
        <v>2.6849999999999996</v>
      </c>
      <c r="M229">
        <f>L229*E229</f>
        <v>16.11</v>
      </c>
      <c r="N229" t="str">
        <f>IF(I229="Rob","Robusta",IF(I229="Exc","Excelsa",IF(I229="Ara","Arabica",IF(I229="Lib","Liberica",""))))</f>
        <v>Robusta</v>
      </c>
      <c r="O229" t="str">
        <f t="shared" si="3"/>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9">
        <f>INDEX(products!$A$1:$G$49,MATCH(orders!$D230,products!$A$1:$A$49,0),MATCH(orders!K$1,products!$A$1:$G$1,0))</f>
        <v>0.2</v>
      </c>
      <c r="L230" s="5">
        <f>INDEX(products!$A$1:$G$49,MATCH(orders!$D230,products!$A$1:$A$49,0),MATCH(orders!L$1,products!$A$1:$G$1,0))</f>
        <v>3.5849999999999995</v>
      </c>
      <c r="M230">
        <f>L230*E230</f>
        <v>17.924999999999997</v>
      </c>
      <c r="N230" t="str">
        <f>IF(I230="Rob","Robusta",IF(I230="Exc","Excelsa",IF(I230="Ara","Arabica",IF(I230="Lib","Liberica",""))))</f>
        <v>Robusta</v>
      </c>
      <c r="O230" t="str">
        <f t="shared" si="3"/>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9">
        <f>INDEX(products!$A$1:$G$49,MATCH(orders!$D231,products!$A$1:$A$49,0),MATCH(orders!K$1,products!$A$1:$G$1,0))</f>
        <v>0.2</v>
      </c>
      <c r="L231" s="5">
        <f>INDEX(products!$A$1:$G$49,MATCH(orders!$D231,products!$A$1:$A$49,0),MATCH(orders!L$1,products!$A$1:$G$1,0))</f>
        <v>4.3650000000000002</v>
      </c>
      <c r="M231">
        <f>L231*E231</f>
        <v>8.73</v>
      </c>
      <c r="N231" t="str">
        <f>IF(I231="Rob","Robusta",IF(I231="Exc","Excelsa",IF(I231="Ara","Arabica",IF(I231="Lib","Liberica",""))))</f>
        <v>Liberica</v>
      </c>
      <c r="O231" t="str">
        <f t="shared" si="3"/>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9">
        <f>INDEX(products!$A$1:$G$49,MATCH(orders!$D232,products!$A$1:$A$49,0),MATCH(orders!K$1,products!$A$1:$G$1,0))</f>
        <v>2.5</v>
      </c>
      <c r="L232" s="5">
        <f>INDEX(products!$A$1:$G$49,MATCH(orders!$D232,products!$A$1:$A$49,0),MATCH(orders!L$1,products!$A$1:$G$1,0))</f>
        <v>25.874999999999996</v>
      </c>
      <c r="M232">
        <f>L232*E232</f>
        <v>51.749999999999993</v>
      </c>
      <c r="N232" t="str">
        <f>IF(I232="Rob","Robusta",IF(I232="Exc","Excelsa",IF(I232="Ara","Arabica",IF(I232="Lib","Liberica",""))))</f>
        <v>Arabica</v>
      </c>
      <c r="O232" t="str">
        <f t="shared" si="3"/>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f>_xlfn.XLOOKUP(C233,customers!$A$1:$A$1001,customers!$C$1:$C$1001,,0)</f>
        <v>0</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9">
        <f>INDEX(products!$A$1:$G$49,MATCH(orders!$D233,products!$A$1:$A$49,0),MATCH(orders!K$1,products!$A$1:$G$1,0))</f>
        <v>0.2</v>
      </c>
      <c r="L233" s="5">
        <f>INDEX(products!$A$1:$G$49,MATCH(orders!$D233,products!$A$1:$A$49,0),MATCH(orders!L$1,products!$A$1:$G$1,0))</f>
        <v>4.3650000000000002</v>
      </c>
      <c r="M233">
        <f>L233*E233</f>
        <v>8.73</v>
      </c>
      <c r="N233" t="str">
        <f>IF(I233="Rob","Robusta",IF(I233="Exc","Excelsa",IF(I233="Ara","Arabica",IF(I233="Lib","Liberica",""))))</f>
        <v>Liberica</v>
      </c>
      <c r="O233" t="str">
        <f t="shared" si="3"/>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9">
        <f>INDEX(products!$A$1:$G$49,MATCH(orders!$D234,products!$A$1:$A$49,0),MATCH(orders!K$1,products!$A$1:$G$1,0))</f>
        <v>0.2</v>
      </c>
      <c r="L234" s="5">
        <f>INDEX(products!$A$1:$G$49,MATCH(orders!$D234,products!$A$1:$A$49,0),MATCH(orders!L$1,products!$A$1:$G$1,0))</f>
        <v>4.7549999999999999</v>
      </c>
      <c r="M234">
        <f>L234*E234</f>
        <v>23.774999999999999</v>
      </c>
      <c r="N234" t="str">
        <f>IF(I234="Rob","Robusta",IF(I234="Exc","Excelsa",IF(I234="Ara","Arabica",IF(I234="Lib","Liberica",""))))</f>
        <v>Liberica</v>
      </c>
      <c r="O234" t="str">
        <f t="shared" si="3"/>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9">
        <f>INDEX(products!$A$1:$G$49,MATCH(orders!$D235,products!$A$1:$A$49,0),MATCH(orders!K$1,products!$A$1:$G$1,0))</f>
        <v>0.2</v>
      </c>
      <c r="L235" s="5">
        <f>INDEX(products!$A$1:$G$49,MATCH(orders!$D235,products!$A$1:$A$49,0),MATCH(orders!L$1,products!$A$1:$G$1,0))</f>
        <v>4.125</v>
      </c>
      <c r="M235">
        <f>L235*E235</f>
        <v>20.625</v>
      </c>
      <c r="N235" t="str">
        <f>IF(I235="Rob","Robusta",IF(I235="Exc","Excelsa",IF(I235="Ara","Arabica",IF(I235="Lib","Liberica",""))))</f>
        <v>Excelsa</v>
      </c>
      <c r="O235" t="str">
        <f t="shared" si="3"/>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9">
        <f>INDEX(products!$A$1:$G$49,MATCH(orders!$D236,products!$A$1:$A$49,0),MATCH(orders!K$1,products!$A$1:$G$1,0))</f>
        <v>2.5</v>
      </c>
      <c r="L236" s="5">
        <f>INDEX(products!$A$1:$G$49,MATCH(orders!$D236,products!$A$1:$A$49,0),MATCH(orders!L$1,products!$A$1:$G$1,0))</f>
        <v>36.454999999999998</v>
      </c>
      <c r="M236">
        <f>L236*E236</f>
        <v>36.454999999999998</v>
      </c>
      <c r="N236" t="str">
        <f>IF(I236="Rob","Robusta",IF(I236="Exc","Excelsa",IF(I236="Ara","Arabica",IF(I236="Lib","Liberica",""))))</f>
        <v>Liberica</v>
      </c>
      <c r="O236" t="str">
        <f t="shared" si="3"/>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f>_xlfn.XLOOKUP(C237,customers!$A$1:$A$1001,customers!$C$1:$C$1001,,0)</f>
        <v>0</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9">
        <f>INDEX(products!$A$1:$G$49,MATCH(orders!$D237,products!$A$1:$A$49,0),MATCH(orders!K$1,products!$A$1:$G$1,0))</f>
        <v>2.5</v>
      </c>
      <c r="L237" s="5">
        <f>INDEX(products!$A$1:$G$49,MATCH(orders!$D237,products!$A$1:$A$49,0),MATCH(orders!L$1,products!$A$1:$G$1,0))</f>
        <v>36.454999999999998</v>
      </c>
      <c r="M237">
        <f>L237*E237</f>
        <v>182.27499999999998</v>
      </c>
      <c r="N237" t="str">
        <f>IF(I237="Rob","Robusta",IF(I237="Exc","Excelsa",IF(I237="Ara","Arabica",IF(I237="Lib","Liberica",""))))</f>
        <v>Liberica</v>
      </c>
      <c r="O237" t="str">
        <f t="shared" si="3"/>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9">
        <f>INDEX(products!$A$1:$G$49,MATCH(orders!$D238,products!$A$1:$A$49,0),MATCH(orders!K$1,products!$A$1:$G$1,0))</f>
        <v>2.5</v>
      </c>
      <c r="L238" s="5">
        <f>INDEX(products!$A$1:$G$49,MATCH(orders!$D238,products!$A$1:$A$49,0),MATCH(orders!L$1,products!$A$1:$G$1,0))</f>
        <v>29.784999999999997</v>
      </c>
      <c r="M238">
        <f>L238*E238</f>
        <v>89.35499999999999</v>
      </c>
      <c r="N238" t="str">
        <f>IF(I238="Rob","Robusta",IF(I238="Exc","Excelsa",IF(I238="Ara","Arabica",IF(I238="Lib","Liberica",""))))</f>
        <v>Liberica</v>
      </c>
      <c r="O238" t="str">
        <f t="shared" si="3"/>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f>_xlfn.XLOOKUP(C239,customers!$A$1:$A$1001,customers!$C$1:$C$1001,,0)</f>
        <v>0</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9">
        <f>INDEX(products!$A$1:$G$49,MATCH(orders!$D239,products!$A$1:$A$49,0),MATCH(orders!K$1,products!$A$1:$G$1,0))</f>
        <v>0.2</v>
      </c>
      <c r="L239" s="5">
        <f>INDEX(products!$A$1:$G$49,MATCH(orders!$D239,products!$A$1:$A$49,0),MATCH(orders!L$1,products!$A$1:$G$1,0))</f>
        <v>3.5849999999999995</v>
      </c>
      <c r="M239">
        <f>L239*E239</f>
        <v>3.5849999999999995</v>
      </c>
      <c r="N239" t="str">
        <f>IF(I239="Rob","Robusta",IF(I239="Exc","Excelsa",IF(I239="Ara","Arabica",IF(I239="Lib","Liberica",""))))</f>
        <v>Robusta</v>
      </c>
      <c r="O239" t="str">
        <f t="shared" si="3"/>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9">
        <f>INDEX(products!$A$1:$G$49,MATCH(orders!$D240,products!$A$1:$A$49,0),MATCH(orders!K$1,products!$A$1:$G$1,0))</f>
        <v>2.5</v>
      </c>
      <c r="L240" s="5">
        <f>INDEX(products!$A$1:$G$49,MATCH(orders!$D240,products!$A$1:$A$49,0),MATCH(orders!L$1,products!$A$1:$G$1,0))</f>
        <v>22.884999999999998</v>
      </c>
      <c r="M240">
        <f>L240*E240</f>
        <v>45.769999999999996</v>
      </c>
      <c r="N240" t="str">
        <f>IF(I240="Rob","Robusta",IF(I240="Exc","Excelsa",IF(I240="Ara","Arabica",IF(I240="Lib","Liberica",""))))</f>
        <v>Robusta</v>
      </c>
      <c r="O240" t="str">
        <f t="shared" si="3"/>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9">
        <f>INDEX(products!$A$1:$G$49,MATCH(orders!$D241,products!$A$1:$A$49,0),MATCH(orders!K$1,products!$A$1:$G$1,0))</f>
        <v>1</v>
      </c>
      <c r="L241" s="5">
        <f>INDEX(products!$A$1:$G$49,MATCH(orders!$D241,products!$A$1:$A$49,0),MATCH(orders!L$1,products!$A$1:$G$1,0))</f>
        <v>14.85</v>
      </c>
      <c r="M241">
        <f>L241*E241</f>
        <v>59.4</v>
      </c>
      <c r="N241" t="str">
        <f>IF(I241="Rob","Robusta",IF(I241="Exc","Excelsa",IF(I241="Ara","Arabica",IF(I241="Lib","Liberica",""))))</f>
        <v>Excelsa</v>
      </c>
      <c r="O241" t="str">
        <f t="shared" si="3"/>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f>_xlfn.XLOOKUP(C242,customers!$A$1:$A$1001,customers!$C$1:$C$1001,,0)</f>
        <v>0</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9">
        <f>INDEX(products!$A$1:$G$49,MATCH(orders!$D242,products!$A$1:$A$49,0),MATCH(orders!K$1,products!$A$1:$G$1,0))</f>
        <v>2.5</v>
      </c>
      <c r="L242" s="5">
        <f>INDEX(products!$A$1:$G$49,MATCH(orders!$D242,products!$A$1:$A$49,0),MATCH(orders!L$1,products!$A$1:$G$1,0))</f>
        <v>25.874999999999996</v>
      </c>
      <c r="M242">
        <f>L242*E242</f>
        <v>155.24999999999997</v>
      </c>
      <c r="N242" t="str">
        <f>IF(I242="Rob","Robusta",IF(I242="Exc","Excelsa",IF(I242="Ara","Arabica",IF(I242="Lib","Liberica",""))))</f>
        <v>Arabica</v>
      </c>
      <c r="O242" t="str">
        <f t="shared" si="3"/>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f>_xlfn.XLOOKUP(C243,customers!$A$1:$A$1001,customers!$C$1:$C$1001,,0)</f>
        <v>0</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9">
        <f>INDEX(products!$A$1:$G$49,MATCH(orders!$D243,products!$A$1:$A$49,0),MATCH(orders!K$1,products!$A$1:$G$1,0))</f>
        <v>2.5</v>
      </c>
      <c r="L243" s="5">
        <f>INDEX(products!$A$1:$G$49,MATCH(orders!$D243,products!$A$1:$A$49,0),MATCH(orders!L$1,products!$A$1:$G$1,0))</f>
        <v>22.884999999999998</v>
      </c>
      <c r="M243">
        <f>L243*E243</f>
        <v>45.769999999999996</v>
      </c>
      <c r="N243" t="str">
        <f>IF(I243="Rob","Robusta",IF(I243="Exc","Excelsa",IF(I243="Ara","Arabica",IF(I243="Lib","Liberica",""))))</f>
        <v>Robusta</v>
      </c>
      <c r="O243" t="str">
        <f t="shared" si="3"/>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9">
        <f>INDEX(products!$A$1:$G$49,MATCH(orders!$D244,products!$A$1:$A$49,0),MATCH(orders!K$1,products!$A$1:$G$1,0))</f>
        <v>1</v>
      </c>
      <c r="L244" s="5">
        <f>INDEX(products!$A$1:$G$49,MATCH(orders!$D244,products!$A$1:$A$49,0),MATCH(orders!L$1,products!$A$1:$G$1,0))</f>
        <v>12.15</v>
      </c>
      <c r="M244">
        <f>L244*E244</f>
        <v>36.450000000000003</v>
      </c>
      <c r="N244" t="str">
        <f>IF(I244="Rob","Robusta",IF(I244="Exc","Excelsa",IF(I244="Ara","Arabica",IF(I244="Lib","Liberica",""))))</f>
        <v>Excelsa</v>
      </c>
      <c r="O244" t="str">
        <f t="shared" si="3"/>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9">
        <f>INDEX(products!$A$1:$G$49,MATCH(orders!$D245,products!$A$1:$A$49,0),MATCH(orders!K$1,products!$A$1:$G$1,0))</f>
        <v>0.5</v>
      </c>
      <c r="L245" s="5">
        <f>INDEX(products!$A$1:$G$49,MATCH(orders!$D245,products!$A$1:$A$49,0),MATCH(orders!L$1,products!$A$1:$G$1,0))</f>
        <v>7.29</v>
      </c>
      <c r="M245">
        <f>L245*E245</f>
        <v>29.16</v>
      </c>
      <c r="N245" t="str">
        <f>IF(I245="Rob","Robusta",IF(I245="Exc","Excelsa",IF(I245="Ara","Arabica",IF(I245="Lib","Liberica",""))))</f>
        <v>Excelsa</v>
      </c>
      <c r="O245" t="str">
        <f t="shared" si="3"/>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9">
        <f>INDEX(products!$A$1:$G$49,MATCH(orders!$D246,products!$A$1:$A$49,0),MATCH(orders!K$1,products!$A$1:$G$1,0))</f>
        <v>2.5</v>
      </c>
      <c r="L246" s="5">
        <f>INDEX(products!$A$1:$G$49,MATCH(orders!$D246,products!$A$1:$A$49,0),MATCH(orders!L$1,products!$A$1:$G$1,0))</f>
        <v>33.464999999999996</v>
      </c>
      <c r="M246">
        <f>L246*E246</f>
        <v>133.85999999999999</v>
      </c>
      <c r="N246" t="str">
        <f>IF(I246="Rob","Robusta",IF(I246="Exc","Excelsa",IF(I246="Ara","Arabica",IF(I246="Lib","Liberica",""))))</f>
        <v>Liberica</v>
      </c>
      <c r="O246" t="str">
        <f t="shared" si="3"/>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9">
        <f>INDEX(products!$A$1:$G$49,MATCH(orders!$D247,products!$A$1:$A$49,0),MATCH(orders!K$1,products!$A$1:$G$1,0))</f>
        <v>0.2</v>
      </c>
      <c r="L247" s="5">
        <f>INDEX(products!$A$1:$G$49,MATCH(orders!$D247,products!$A$1:$A$49,0),MATCH(orders!L$1,products!$A$1:$G$1,0))</f>
        <v>4.7549999999999999</v>
      </c>
      <c r="M247">
        <f>L247*E247</f>
        <v>23.774999999999999</v>
      </c>
      <c r="N247" t="str">
        <f>IF(I247="Rob","Robusta",IF(I247="Exc","Excelsa",IF(I247="Ara","Arabica",IF(I247="Lib","Liberica",""))))</f>
        <v>Liberica</v>
      </c>
      <c r="O247" t="str">
        <f t="shared" si="3"/>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9">
        <f>INDEX(products!$A$1:$G$49,MATCH(orders!$D248,products!$A$1:$A$49,0),MATCH(orders!K$1,products!$A$1:$G$1,0))</f>
        <v>1</v>
      </c>
      <c r="L248" s="5">
        <f>INDEX(products!$A$1:$G$49,MATCH(orders!$D248,products!$A$1:$A$49,0),MATCH(orders!L$1,products!$A$1:$G$1,0))</f>
        <v>12.95</v>
      </c>
      <c r="M248">
        <f>L248*E248</f>
        <v>38.849999999999994</v>
      </c>
      <c r="N248" t="str">
        <f>IF(I248="Rob","Robusta",IF(I248="Exc","Excelsa",IF(I248="Ara","Arabica",IF(I248="Lib","Liberica",""))))</f>
        <v>Liberica</v>
      </c>
      <c r="O248" t="str">
        <f t="shared" si="3"/>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f>_xlfn.XLOOKUP(C249,customers!$A$1:$A$1001,customers!$C$1:$C$1001,,0)</f>
        <v>0</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9">
        <f>INDEX(products!$A$1:$G$49,MATCH(orders!$D249,products!$A$1:$A$49,0),MATCH(orders!K$1,products!$A$1:$G$1,0))</f>
        <v>0.2</v>
      </c>
      <c r="L249" s="5">
        <f>INDEX(products!$A$1:$G$49,MATCH(orders!$D249,products!$A$1:$A$49,0),MATCH(orders!L$1,products!$A$1:$G$1,0))</f>
        <v>3.5849999999999995</v>
      </c>
      <c r="M249">
        <f>L249*E249</f>
        <v>21.509999999999998</v>
      </c>
      <c r="N249" t="str">
        <f>IF(I249="Rob","Robusta",IF(I249="Exc","Excelsa",IF(I249="Ara","Arabica",IF(I249="Lib","Liberica",""))))</f>
        <v>Robusta</v>
      </c>
      <c r="O249" t="str">
        <f t="shared" si="3"/>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9">
        <f>INDEX(products!$A$1:$G$49,MATCH(orders!$D250,products!$A$1:$A$49,0),MATCH(orders!K$1,products!$A$1:$G$1,0))</f>
        <v>1</v>
      </c>
      <c r="L250" s="5">
        <f>INDEX(products!$A$1:$G$49,MATCH(orders!$D250,products!$A$1:$A$49,0),MATCH(orders!L$1,products!$A$1:$G$1,0))</f>
        <v>9.9499999999999993</v>
      </c>
      <c r="M250">
        <f>L250*E250</f>
        <v>9.9499999999999993</v>
      </c>
      <c r="N250" t="str">
        <f>IF(I250="Rob","Robusta",IF(I250="Exc","Excelsa",IF(I250="Ara","Arabica",IF(I250="Lib","Liberica",""))))</f>
        <v>Arabica</v>
      </c>
      <c r="O250" t="str">
        <f t="shared" si="3"/>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9">
        <f>INDEX(products!$A$1:$G$49,MATCH(orders!$D251,products!$A$1:$A$49,0),MATCH(orders!K$1,products!$A$1:$G$1,0))</f>
        <v>1</v>
      </c>
      <c r="L251" s="5">
        <f>INDEX(products!$A$1:$G$49,MATCH(orders!$D251,products!$A$1:$A$49,0),MATCH(orders!L$1,products!$A$1:$G$1,0))</f>
        <v>15.85</v>
      </c>
      <c r="M251">
        <f>L251*E251</f>
        <v>15.85</v>
      </c>
      <c r="N251" t="str">
        <f>IF(I251="Rob","Robusta",IF(I251="Exc","Excelsa",IF(I251="Ara","Arabica",IF(I251="Lib","Liberica",""))))</f>
        <v>Liberica</v>
      </c>
      <c r="O251" t="str">
        <f t="shared" si="3"/>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9">
        <f>INDEX(products!$A$1:$G$49,MATCH(orders!$D252,products!$A$1:$A$49,0),MATCH(orders!K$1,products!$A$1:$G$1,0))</f>
        <v>0.2</v>
      </c>
      <c r="L252" s="5">
        <f>INDEX(products!$A$1:$G$49,MATCH(orders!$D252,products!$A$1:$A$49,0),MATCH(orders!L$1,products!$A$1:$G$1,0))</f>
        <v>2.9849999999999999</v>
      </c>
      <c r="M252">
        <f>L252*E252</f>
        <v>2.9849999999999999</v>
      </c>
      <c r="N252" t="str">
        <f>IF(I252="Rob","Robusta",IF(I252="Exc","Excelsa",IF(I252="Ara","Arabica",IF(I252="Lib","Liberica",""))))</f>
        <v>Robusta</v>
      </c>
      <c r="O252" t="str">
        <f t="shared" si="3"/>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9">
        <f>INDEX(products!$A$1:$G$49,MATCH(orders!$D253,products!$A$1:$A$49,0),MATCH(orders!K$1,products!$A$1:$G$1,0))</f>
        <v>1</v>
      </c>
      <c r="L253" s="5">
        <f>INDEX(products!$A$1:$G$49,MATCH(orders!$D253,products!$A$1:$A$49,0),MATCH(orders!L$1,products!$A$1:$G$1,0))</f>
        <v>13.75</v>
      </c>
      <c r="M253">
        <f>L253*E253</f>
        <v>68.75</v>
      </c>
      <c r="N253" t="str">
        <f>IF(I253="Rob","Robusta",IF(I253="Exc","Excelsa",IF(I253="Ara","Arabica",IF(I253="Lib","Liberica",""))))</f>
        <v>Excelsa</v>
      </c>
      <c r="O253" t="str">
        <f t="shared" si="3"/>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f>_xlfn.XLOOKUP(C254,customers!$A$1:$A$1001,customers!$C$1:$C$1001,,0)</f>
        <v>0</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9">
        <f>INDEX(products!$A$1:$G$49,MATCH(orders!$D254,products!$A$1:$A$49,0),MATCH(orders!K$1,products!$A$1:$G$1,0))</f>
        <v>1</v>
      </c>
      <c r="L254" s="5">
        <f>INDEX(products!$A$1:$G$49,MATCH(orders!$D254,products!$A$1:$A$49,0),MATCH(orders!L$1,products!$A$1:$G$1,0))</f>
        <v>9.9499999999999993</v>
      </c>
      <c r="M254">
        <f>L254*E254</f>
        <v>29.849999999999998</v>
      </c>
      <c r="N254" t="str">
        <f>IF(I254="Rob","Robusta",IF(I254="Exc","Excelsa",IF(I254="Ara","Arabica",IF(I254="Lib","Liberica",""))))</f>
        <v>Arabica</v>
      </c>
      <c r="O254" t="str">
        <f t="shared" si="3"/>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9">
        <f>INDEX(products!$A$1:$G$49,MATCH(orders!$D255,products!$A$1:$A$49,0),MATCH(orders!K$1,products!$A$1:$G$1,0))</f>
        <v>1</v>
      </c>
      <c r="L255" s="5">
        <f>INDEX(products!$A$1:$G$49,MATCH(orders!$D255,products!$A$1:$A$49,0),MATCH(orders!L$1,products!$A$1:$G$1,0))</f>
        <v>14.55</v>
      </c>
      <c r="M255">
        <f>L255*E255</f>
        <v>58.2</v>
      </c>
      <c r="N255" t="str">
        <f>IF(I255="Rob","Robusta",IF(I255="Exc","Excelsa",IF(I255="Ara","Arabica",IF(I255="Lib","Liberica",""))))</f>
        <v>Liberica</v>
      </c>
      <c r="O255" t="str">
        <f t="shared" si="3"/>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9">
        <f>INDEX(products!$A$1:$G$49,MATCH(orders!$D256,products!$A$1:$A$49,0),MATCH(orders!K$1,products!$A$1:$G$1,0))</f>
        <v>0.5</v>
      </c>
      <c r="L256" s="5">
        <f>INDEX(products!$A$1:$G$49,MATCH(orders!$D256,products!$A$1:$A$49,0),MATCH(orders!L$1,products!$A$1:$G$1,0))</f>
        <v>7.169999999999999</v>
      </c>
      <c r="M256">
        <f>L256*E256</f>
        <v>28.679999999999996</v>
      </c>
      <c r="N256" t="str">
        <f>IF(I256="Rob","Robusta",IF(I256="Exc","Excelsa",IF(I256="Ara","Arabica",IF(I256="Lib","Liberica",""))))</f>
        <v>Robusta</v>
      </c>
      <c r="O256" t="str">
        <f t="shared" si="3"/>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9">
        <f>INDEX(products!$A$1:$G$49,MATCH(orders!$D257,products!$A$1:$A$49,0),MATCH(orders!K$1,products!$A$1:$G$1,0))</f>
        <v>0.5</v>
      </c>
      <c r="L257" s="5">
        <f>INDEX(products!$A$1:$G$49,MATCH(orders!$D257,products!$A$1:$A$49,0),MATCH(orders!L$1,products!$A$1:$G$1,0))</f>
        <v>7.169999999999999</v>
      </c>
      <c r="M257">
        <f>L257*E257</f>
        <v>21.509999999999998</v>
      </c>
      <c r="N257" t="str">
        <f>IF(I257="Rob","Robusta",IF(I257="Exc","Excelsa",IF(I257="Ara","Arabica",IF(I257="Lib","Liberica",""))))</f>
        <v>Robusta</v>
      </c>
      <c r="O257" t="str">
        <f t="shared" si="3"/>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9">
        <f>INDEX(products!$A$1:$G$49,MATCH(orders!$D258,products!$A$1:$A$49,0),MATCH(orders!K$1,products!$A$1:$G$1,0))</f>
        <v>0.5</v>
      </c>
      <c r="L258" s="5">
        <f>INDEX(products!$A$1:$G$49,MATCH(orders!$D258,products!$A$1:$A$49,0),MATCH(orders!L$1,products!$A$1:$G$1,0))</f>
        <v>8.73</v>
      </c>
      <c r="M258">
        <f>L258*E258</f>
        <v>17.46</v>
      </c>
      <c r="N258" t="str">
        <f>IF(I258="Rob","Robusta",IF(I258="Exc","Excelsa",IF(I258="Ara","Arabica",IF(I258="Lib","Liberica",""))))</f>
        <v>Liberica</v>
      </c>
      <c r="O258" t="str">
        <f t="shared" si="3"/>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9">
        <f>INDEX(products!$A$1:$G$49,MATCH(orders!$D259,products!$A$1:$A$49,0),MATCH(orders!K$1,products!$A$1:$G$1,0))</f>
        <v>2.5</v>
      </c>
      <c r="L259" s="5">
        <f>INDEX(products!$A$1:$G$49,MATCH(orders!$D259,products!$A$1:$A$49,0),MATCH(orders!L$1,products!$A$1:$G$1,0))</f>
        <v>27.945</v>
      </c>
      <c r="M259">
        <f>L259*E259</f>
        <v>27.945</v>
      </c>
      <c r="N259" t="str">
        <f>IF(I259="Rob","Robusta",IF(I259="Exc","Excelsa",IF(I259="Ara","Arabica",IF(I259="Lib","Liberica",""))))</f>
        <v>Excelsa</v>
      </c>
      <c r="O259" t="str">
        <f t="shared" ref="O259:O322" si="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9">
        <f>INDEX(products!$A$1:$G$49,MATCH(orders!$D260,products!$A$1:$A$49,0),MATCH(orders!K$1,products!$A$1:$G$1,0))</f>
        <v>2.5</v>
      </c>
      <c r="L260" s="5">
        <f>INDEX(products!$A$1:$G$49,MATCH(orders!$D260,products!$A$1:$A$49,0),MATCH(orders!L$1,products!$A$1:$G$1,0))</f>
        <v>27.945</v>
      </c>
      <c r="M260">
        <f>L260*E260</f>
        <v>139.72499999999999</v>
      </c>
      <c r="N260" t="str">
        <f>IF(I260="Rob","Robusta",IF(I260="Exc","Excelsa",IF(I260="Ara","Arabica",IF(I260="Lib","Liberica",""))))</f>
        <v>Excelsa</v>
      </c>
      <c r="O260" t="str">
        <f t="shared" si="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9">
        <f>INDEX(products!$A$1:$G$49,MATCH(orders!$D261,products!$A$1:$A$49,0),MATCH(orders!K$1,products!$A$1:$G$1,0))</f>
        <v>0.2</v>
      </c>
      <c r="L261" s="5">
        <f>INDEX(products!$A$1:$G$49,MATCH(orders!$D261,products!$A$1:$A$49,0),MATCH(orders!L$1,products!$A$1:$G$1,0))</f>
        <v>2.9849999999999999</v>
      </c>
      <c r="M261">
        <f>L261*E261</f>
        <v>5.97</v>
      </c>
      <c r="N261" t="str">
        <f>IF(I261="Rob","Robusta",IF(I261="Exc","Excelsa",IF(I261="Ara","Arabica",IF(I261="Lib","Liberica",""))))</f>
        <v>Robusta</v>
      </c>
      <c r="O261" t="str">
        <f t="shared" si="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9">
        <f>INDEX(products!$A$1:$G$49,MATCH(orders!$D262,products!$A$1:$A$49,0),MATCH(orders!K$1,products!$A$1:$G$1,0))</f>
        <v>2.5</v>
      </c>
      <c r="L262" s="5">
        <f>INDEX(products!$A$1:$G$49,MATCH(orders!$D262,products!$A$1:$A$49,0),MATCH(orders!L$1,products!$A$1:$G$1,0))</f>
        <v>27.484999999999996</v>
      </c>
      <c r="M262">
        <f>L262*E262</f>
        <v>27.484999999999996</v>
      </c>
      <c r="N262" t="str">
        <f>IF(I262="Rob","Robusta",IF(I262="Exc","Excelsa",IF(I262="Ara","Arabica",IF(I262="Lib","Liberica",""))))</f>
        <v>Robusta</v>
      </c>
      <c r="O262" t="str">
        <f t="shared" si="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9">
        <f>INDEX(products!$A$1:$G$49,MATCH(orders!$D263,products!$A$1:$A$49,0),MATCH(orders!K$1,products!$A$1:$G$1,0))</f>
        <v>1</v>
      </c>
      <c r="L263" s="5">
        <f>INDEX(products!$A$1:$G$49,MATCH(orders!$D263,products!$A$1:$A$49,0),MATCH(orders!L$1,products!$A$1:$G$1,0))</f>
        <v>11.95</v>
      </c>
      <c r="M263">
        <f>L263*E263</f>
        <v>59.75</v>
      </c>
      <c r="N263" t="str">
        <f>IF(I263="Rob","Robusta",IF(I263="Exc","Excelsa",IF(I263="Ara","Arabica",IF(I263="Lib","Liberica",""))))</f>
        <v>Robusta</v>
      </c>
      <c r="O263" t="str">
        <f t="shared" si="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9">
        <f>INDEX(products!$A$1:$G$49,MATCH(orders!$D264,products!$A$1:$A$49,0),MATCH(orders!K$1,products!$A$1:$G$1,0))</f>
        <v>1</v>
      </c>
      <c r="L264" s="5">
        <f>INDEX(products!$A$1:$G$49,MATCH(orders!$D264,products!$A$1:$A$49,0),MATCH(orders!L$1,products!$A$1:$G$1,0))</f>
        <v>13.75</v>
      </c>
      <c r="M264">
        <f>L264*E264</f>
        <v>41.25</v>
      </c>
      <c r="N264" t="str">
        <f>IF(I264="Rob","Robusta",IF(I264="Exc","Excelsa",IF(I264="Ara","Arabica",IF(I264="Lib","Liberica",""))))</f>
        <v>Excelsa</v>
      </c>
      <c r="O264" t="str">
        <f t="shared" si="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f>_xlfn.XLOOKUP(C265,customers!$A$1:$A$1001,customers!$C$1:$C$1001,,0)</f>
        <v>0</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9">
        <f>INDEX(products!$A$1:$G$49,MATCH(orders!$D265,products!$A$1:$A$49,0),MATCH(orders!K$1,products!$A$1:$G$1,0))</f>
        <v>2.5</v>
      </c>
      <c r="L265" s="5">
        <f>INDEX(products!$A$1:$G$49,MATCH(orders!$D265,products!$A$1:$A$49,0),MATCH(orders!L$1,products!$A$1:$G$1,0))</f>
        <v>33.464999999999996</v>
      </c>
      <c r="M265">
        <f>L265*E265</f>
        <v>133.85999999999999</v>
      </c>
      <c r="N265" t="str">
        <f>IF(I265="Rob","Robusta",IF(I265="Exc","Excelsa",IF(I265="Ara","Arabica",IF(I265="Lib","Liberica",""))))</f>
        <v>Liberica</v>
      </c>
      <c r="O265" t="str">
        <f t="shared" si="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f>_xlfn.XLOOKUP(C266,customers!$A$1:$A$1001,customers!$C$1:$C$1001,,0)</f>
        <v>0</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9">
        <f>INDEX(products!$A$1:$G$49,MATCH(orders!$D266,products!$A$1:$A$49,0),MATCH(orders!K$1,products!$A$1:$G$1,0))</f>
        <v>1</v>
      </c>
      <c r="L266" s="5">
        <f>INDEX(products!$A$1:$G$49,MATCH(orders!$D266,products!$A$1:$A$49,0),MATCH(orders!L$1,products!$A$1:$G$1,0))</f>
        <v>11.95</v>
      </c>
      <c r="M266">
        <f>L266*E266</f>
        <v>59.75</v>
      </c>
      <c r="N266" t="str">
        <f>IF(I266="Rob","Robusta",IF(I266="Exc","Excelsa",IF(I266="Ara","Arabica",IF(I266="Lib","Liberica",""))))</f>
        <v>Robusta</v>
      </c>
      <c r="O266" t="str">
        <f t="shared" si="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9">
        <f>INDEX(products!$A$1:$G$49,MATCH(orders!$D267,products!$A$1:$A$49,0),MATCH(orders!K$1,products!$A$1:$G$1,0))</f>
        <v>0.5</v>
      </c>
      <c r="L267" s="5">
        <f>INDEX(products!$A$1:$G$49,MATCH(orders!$D267,products!$A$1:$A$49,0),MATCH(orders!L$1,products!$A$1:$G$1,0))</f>
        <v>5.97</v>
      </c>
      <c r="M267">
        <f>L267*E267</f>
        <v>5.97</v>
      </c>
      <c r="N267" t="str">
        <f>IF(I267="Rob","Robusta",IF(I267="Exc","Excelsa",IF(I267="Ara","Arabica",IF(I267="Lib","Liberica",""))))</f>
        <v>Arabica</v>
      </c>
      <c r="O267" t="str">
        <f t="shared" si="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9">
        <f>INDEX(products!$A$1:$G$49,MATCH(orders!$D268,products!$A$1:$A$49,0),MATCH(orders!K$1,products!$A$1:$G$1,0))</f>
        <v>1</v>
      </c>
      <c r="L268" s="5">
        <f>INDEX(products!$A$1:$G$49,MATCH(orders!$D268,products!$A$1:$A$49,0),MATCH(orders!L$1,products!$A$1:$G$1,0))</f>
        <v>12.15</v>
      </c>
      <c r="M268">
        <f>L268*E268</f>
        <v>24.3</v>
      </c>
      <c r="N268" t="str">
        <f>IF(I268="Rob","Robusta",IF(I268="Exc","Excelsa",IF(I268="Ara","Arabica",IF(I268="Lib","Liberica",""))))</f>
        <v>Excelsa</v>
      </c>
      <c r="O268" t="str">
        <f t="shared" si="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9">
        <f>INDEX(products!$A$1:$G$49,MATCH(orders!$D269,products!$A$1:$A$49,0),MATCH(orders!K$1,products!$A$1:$G$1,0))</f>
        <v>0.2</v>
      </c>
      <c r="L269" s="5">
        <f>INDEX(products!$A$1:$G$49,MATCH(orders!$D269,products!$A$1:$A$49,0),MATCH(orders!L$1,products!$A$1:$G$1,0))</f>
        <v>3.645</v>
      </c>
      <c r="M269">
        <f>L269*E269</f>
        <v>21.87</v>
      </c>
      <c r="N269" t="str">
        <f>IF(I269="Rob","Robusta",IF(I269="Exc","Excelsa",IF(I269="Ara","Arabica",IF(I269="Lib","Liberica",""))))</f>
        <v>Excelsa</v>
      </c>
      <c r="O269" t="str">
        <f t="shared" si="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9">
        <f>INDEX(products!$A$1:$G$49,MATCH(orders!$D270,products!$A$1:$A$49,0),MATCH(orders!K$1,products!$A$1:$G$1,0))</f>
        <v>1</v>
      </c>
      <c r="L270" s="5">
        <f>INDEX(products!$A$1:$G$49,MATCH(orders!$D270,products!$A$1:$A$49,0),MATCH(orders!L$1,products!$A$1:$G$1,0))</f>
        <v>9.9499999999999993</v>
      </c>
      <c r="M270">
        <f>L270*E270</f>
        <v>19.899999999999999</v>
      </c>
      <c r="N270" t="str">
        <f>IF(I270="Rob","Robusta",IF(I270="Exc","Excelsa",IF(I270="Ara","Arabica",IF(I270="Lib","Liberica",""))))</f>
        <v>Arabica</v>
      </c>
      <c r="O270" t="str">
        <f t="shared" si="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9">
        <f>INDEX(products!$A$1:$G$49,MATCH(orders!$D271,products!$A$1:$A$49,0),MATCH(orders!K$1,products!$A$1:$G$1,0))</f>
        <v>0.2</v>
      </c>
      <c r="L271" s="5">
        <f>INDEX(products!$A$1:$G$49,MATCH(orders!$D271,products!$A$1:$A$49,0),MATCH(orders!L$1,products!$A$1:$G$1,0))</f>
        <v>2.9849999999999999</v>
      </c>
      <c r="M271">
        <f>L271*E271</f>
        <v>5.97</v>
      </c>
      <c r="N271" t="str">
        <f>IF(I271="Rob","Robusta",IF(I271="Exc","Excelsa",IF(I271="Ara","Arabica",IF(I271="Lib","Liberica",""))))</f>
        <v>Arabica</v>
      </c>
      <c r="O271" t="str">
        <f t="shared" si="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f>_xlfn.XLOOKUP(C272,customers!$A$1:$A$1001,customers!$C$1:$C$1001,,0)</f>
        <v>0</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9">
        <f>INDEX(products!$A$1:$G$49,MATCH(orders!$D272,products!$A$1:$A$49,0),MATCH(orders!K$1,products!$A$1:$G$1,0))</f>
        <v>0.5</v>
      </c>
      <c r="L272" s="5">
        <f>INDEX(products!$A$1:$G$49,MATCH(orders!$D272,products!$A$1:$A$49,0),MATCH(orders!L$1,products!$A$1:$G$1,0))</f>
        <v>7.29</v>
      </c>
      <c r="M272">
        <f>L272*E272</f>
        <v>7.29</v>
      </c>
      <c r="N272" t="str">
        <f>IF(I272="Rob","Robusta",IF(I272="Exc","Excelsa",IF(I272="Ara","Arabica",IF(I272="Lib","Liberica",""))))</f>
        <v>Excelsa</v>
      </c>
      <c r="O272" t="str">
        <f t="shared" si="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9">
        <f>INDEX(products!$A$1:$G$49,MATCH(orders!$D273,products!$A$1:$A$49,0),MATCH(orders!K$1,products!$A$1:$G$1,0))</f>
        <v>0.2</v>
      </c>
      <c r="L273" s="5">
        <f>INDEX(products!$A$1:$G$49,MATCH(orders!$D273,products!$A$1:$A$49,0),MATCH(orders!L$1,products!$A$1:$G$1,0))</f>
        <v>2.9849999999999999</v>
      </c>
      <c r="M273">
        <f>L273*E273</f>
        <v>11.94</v>
      </c>
      <c r="N273" t="str">
        <f>IF(I273="Rob","Robusta",IF(I273="Exc","Excelsa",IF(I273="Ara","Arabica",IF(I273="Lib","Liberica",""))))</f>
        <v>Arabica</v>
      </c>
      <c r="O273" t="str">
        <f t="shared" si="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9">
        <f>INDEX(products!$A$1:$G$49,MATCH(orders!$D274,products!$A$1:$A$49,0),MATCH(orders!K$1,products!$A$1:$G$1,0))</f>
        <v>1</v>
      </c>
      <c r="L274" s="5">
        <f>INDEX(products!$A$1:$G$49,MATCH(orders!$D274,products!$A$1:$A$49,0),MATCH(orders!L$1,products!$A$1:$G$1,0))</f>
        <v>11.95</v>
      </c>
      <c r="M274">
        <f>L274*E274</f>
        <v>71.699999999999989</v>
      </c>
      <c r="N274" t="str">
        <f>IF(I274="Rob","Robusta",IF(I274="Exc","Excelsa",IF(I274="Ara","Arabica",IF(I274="Lib","Liberica",""))))</f>
        <v>Robusta</v>
      </c>
      <c r="O274" t="str">
        <f t="shared" si="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9">
        <f>INDEX(products!$A$1:$G$49,MATCH(orders!$D275,products!$A$1:$A$49,0),MATCH(orders!K$1,products!$A$1:$G$1,0))</f>
        <v>0.2</v>
      </c>
      <c r="L275" s="5">
        <f>INDEX(products!$A$1:$G$49,MATCH(orders!$D275,products!$A$1:$A$49,0),MATCH(orders!L$1,products!$A$1:$G$1,0))</f>
        <v>3.8849999999999998</v>
      </c>
      <c r="M275">
        <f>L275*E275</f>
        <v>7.77</v>
      </c>
      <c r="N275" t="str">
        <f>IF(I275="Rob","Robusta",IF(I275="Exc","Excelsa",IF(I275="Ara","Arabica",IF(I275="Lib","Liberica",""))))</f>
        <v>Arabica</v>
      </c>
      <c r="O275" t="str">
        <f t="shared" si="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9">
        <f>INDEX(products!$A$1:$G$49,MATCH(orders!$D276,products!$A$1:$A$49,0),MATCH(orders!K$1,products!$A$1:$G$1,0))</f>
        <v>2.5</v>
      </c>
      <c r="L276" s="5">
        <f>INDEX(products!$A$1:$G$49,MATCH(orders!$D276,products!$A$1:$A$49,0),MATCH(orders!L$1,products!$A$1:$G$1,0))</f>
        <v>25.874999999999996</v>
      </c>
      <c r="M276">
        <f>L276*E276</f>
        <v>25.874999999999996</v>
      </c>
      <c r="N276" t="str">
        <f>IF(I276="Rob","Robusta",IF(I276="Exc","Excelsa",IF(I276="Ara","Arabica",IF(I276="Lib","Liberica",""))))</f>
        <v>Arabica</v>
      </c>
      <c r="O276" t="str">
        <f t="shared" si="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9">
        <f>INDEX(products!$A$1:$G$49,MATCH(orders!$D277,products!$A$1:$A$49,0),MATCH(orders!K$1,products!$A$1:$G$1,0))</f>
        <v>2.5</v>
      </c>
      <c r="L277" s="5">
        <f>INDEX(products!$A$1:$G$49,MATCH(orders!$D277,products!$A$1:$A$49,0),MATCH(orders!L$1,products!$A$1:$G$1,0))</f>
        <v>34.154999999999994</v>
      </c>
      <c r="M277">
        <f>L277*E277</f>
        <v>204.92999999999995</v>
      </c>
      <c r="N277" t="str">
        <f>IF(I277="Rob","Robusta",IF(I277="Exc","Excelsa",IF(I277="Ara","Arabica",IF(I277="Lib","Liberica",""))))</f>
        <v>Excelsa</v>
      </c>
      <c r="O277" t="str">
        <f t="shared" si="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9">
        <f>INDEX(products!$A$1:$G$49,MATCH(orders!$D278,products!$A$1:$A$49,0),MATCH(orders!K$1,products!$A$1:$G$1,0))</f>
        <v>2.5</v>
      </c>
      <c r="L278" s="5">
        <f>INDEX(products!$A$1:$G$49,MATCH(orders!$D278,products!$A$1:$A$49,0),MATCH(orders!L$1,products!$A$1:$G$1,0))</f>
        <v>27.484999999999996</v>
      </c>
      <c r="M278">
        <f>L278*E278</f>
        <v>109.93999999999998</v>
      </c>
      <c r="N278" t="str">
        <f>IF(I278="Rob","Robusta",IF(I278="Exc","Excelsa",IF(I278="Ara","Arabica",IF(I278="Lib","Liberica",""))))</f>
        <v>Robusta</v>
      </c>
      <c r="O278" t="str">
        <f t="shared" si="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9">
        <f>INDEX(products!$A$1:$G$49,MATCH(orders!$D279,products!$A$1:$A$49,0),MATCH(orders!K$1,products!$A$1:$G$1,0))</f>
        <v>1</v>
      </c>
      <c r="L279" s="5">
        <f>INDEX(products!$A$1:$G$49,MATCH(orders!$D279,products!$A$1:$A$49,0),MATCH(orders!L$1,products!$A$1:$G$1,0))</f>
        <v>14.85</v>
      </c>
      <c r="M279">
        <f>L279*E279</f>
        <v>89.1</v>
      </c>
      <c r="N279" t="str">
        <f>IF(I279="Rob","Robusta",IF(I279="Exc","Excelsa",IF(I279="Ara","Arabica",IF(I279="Lib","Liberica",""))))</f>
        <v>Excelsa</v>
      </c>
      <c r="O279" t="str">
        <f t="shared" si="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9">
        <f>INDEX(products!$A$1:$G$49,MATCH(orders!$D280,products!$A$1:$A$49,0),MATCH(orders!K$1,products!$A$1:$G$1,0))</f>
        <v>0.2</v>
      </c>
      <c r="L280" s="5">
        <f>INDEX(products!$A$1:$G$49,MATCH(orders!$D280,products!$A$1:$A$49,0),MATCH(orders!L$1,products!$A$1:$G$1,0))</f>
        <v>3.8849999999999998</v>
      </c>
      <c r="M280">
        <f>L280*E280</f>
        <v>7.77</v>
      </c>
      <c r="N280" t="str">
        <f>IF(I280="Rob","Robusta",IF(I280="Exc","Excelsa",IF(I280="Ara","Arabica",IF(I280="Lib","Liberica",""))))</f>
        <v>Arabica</v>
      </c>
      <c r="O280" t="str">
        <f t="shared" si="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9">
        <f>INDEX(products!$A$1:$G$49,MATCH(orders!$D281,products!$A$1:$A$49,0),MATCH(orders!K$1,products!$A$1:$G$1,0))</f>
        <v>2.5</v>
      </c>
      <c r="L281" s="5">
        <f>INDEX(products!$A$1:$G$49,MATCH(orders!$D281,products!$A$1:$A$49,0),MATCH(orders!L$1,products!$A$1:$G$1,0))</f>
        <v>33.464999999999996</v>
      </c>
      <c r="M281">
        <f>L281*E281</f>
        <v>33.464999999999996</v>
      </c>
      <c r="N281" t="str">
        <f>IF(I281="Rob","Robusta",IF(I281="Exc","Excelsa",IF(I281="Ara","Arabica",IF(I281="Lib","Liberica",""))))</f>
        <v>Liberica</v>
      </c>
      <c r="O281" t="str">
        <f t="shared" si="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f>_xlfn.XLOOKUP(C282,customers!$A$1:$A$1001,customers!$C$1:$C$1001,,0)</f>
        <v>0</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9">
        <f>INDEX(products!$A$1:$G$49,MATCH(orders!$D282,products!$A$1:$A$49,0),MATCH(orders!K$1,products!$A$1:$G$1,0))</f>
        <v>0.5</v>
      </c>
      <c r="L282" s="5">
        <f>INDEX(products!$A$1:$G$49,MATCH(orders!$D282,products!$A$1:$A$49,0),MATCH(orders!L$1,products!$A$1:$G$1,0))</f>
        <v>8.25</v>
      </c>
      <c r="M282">
        <f>L282*E282</f>
        <v>41.25</v>
      </c>
      <c r="N282" t="str">
        <f>IF(I282="Rob","Robusta",IF(I282="Exc","Excelsa",IF(I282="Ara","Arabica",IF(I282="Lib","Liberica",""))))</f>
        <v>Excelsa</v>
      </c>
      <c r="O282" t="str">
        <f t="shared" si="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9">
        <f>INDEX(products!$A$1:$G$49,MATCH(orders!$D283,products!$A$1:$A$49,0),MATCH(orders!K$1,products!$A$1:$G$1,0))</f>
        <v>1</v>
      </c>
      <c r="L283" s="5">
        <f>INDEX(products!$A$1:$G$49,MATCH(orders!$D283,products!$A$1:$A$49,0),MATCH(orders!L$1,products!$A$1:$G$1,0))</f>
        <v>14.85</v>
      </c>
      <c r="M283">
        <f>L283*E283</f>
        <v>59.4</v>
      </c>
      <c r="N283" t="str">
        <f>IF(I283="Rob","Robusta",IF(I283="Exc","Excelsa",IF(I283="Ara","Arabica",IF(I283="Lib","Liberica",""))))</f>
        <v>Excelsa</v>
      </c>
      <c r="O283" t="str">
        <f t="shared" si="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9">
        <f>INDEX(products!$A$1:$G$49,MATCH(orders!$D284,products!$A$1:$A$49,0),MATCH(orders!K$1,products!$A$1:$G$1,0))</f>
        <v>0.5</v>
      </c>
      <c r="L284" s="5">
        <f>INDEX(products!$A$1:$G$49,MATCH(orders!$D284,products!$A$1:$A$49,0),MATCH(orders!L$1,products!$A$1:$G$1,0))</f>
        <v>7.77</v>
      </c>
      <c r="M284">
        <f>L284*E284</f>
        <v>7.77</v>
      </c>
      <c r="N284" t="str">
        <f>IF(I284="Rob","Robusta",IF(I284="Exc","Excelsa",IF(I284="Ara","Arabica",IF(I284="Lib","Liberica",""))))</f>
        <v>Arabica</v>
      </c>
      <c r="O284" t="str">
        <f t="shared" si="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9">
        <f>INDEX(products!$A$1:$G$49,MATCH(orders!$D285,products!$A$1:$A$49,0),MATCH(orders!K$1,products!$A$1:$G$1,0))</f>
        <v>0.5</v>
      </c>
      <c r="L285" s="5">
        <f>INDEX(products!$A$1:$G$49,MATCH(orders!$D285,products!$A$1:$A$49,0),MATCH(orders!L$1,products!$A$1:$G$1,0))</f>
        <v>5.3699999999999992</v>
      </c>
      <c r="M285">
        <f>L285*E285</f>
        <v>5.3699999999999992</v>
      </c>
      <c r="N285" t="str">
        <f>IF(I285="Rob","Robusta",IF(I285="Exc","Excelsa",IF(I285="Ara","Arabica",IF(I285="Lib","Liberica",""))))</f>
        <v>Robusta</v>
      </c>
      <c r="O285" t="str">
        <f t="shared" si="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f>_xlfn.XLOOKUP(C286,customers!$A$1:$A$1001,customers!$C$1:$C$1001,,0)</f>
        <v>0</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9">
        <f>INDEX(products!$A$1:$G$49,MATCH(orders!$D286,products!$A$1:$A$49,0),MATCH(orders!K$1,products!$A$1:$G$1,0))</f>
        <v>2.5</v>
      </c>
      <c r="L286" s="5">
        <f>INDEX(products!$A$1:$G$49,MATCH(orders!$D286,products!$A$1:$A$49,0),MATCH(orders!L$1,products!$A$1:$G$1,0))</f>
        <v>31.624999999999996</v>
      </c>
      <c r="M286">
        <f>L286*E286</f>
        <v>94.874999999999986</v>
      </c>
      <c r="N286" t="str">
        <f>IF(I286="Rob","Robusta",IF(I286="Exc","Excelsa",IF(I286="Ara","Arabica",IF(I286="Lib","Liberica",""))))</f>
        <v>Excelsa</v>
      </c>
      <c r="O286" t="str">
        <f t="shared" si="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f>_xlfn.XLOOKUP(C287,customers!$A$1:$A$1001,customers!$C$1:$C$1001,,0)</f>
        <v>0</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9">
        <f>INDEX(products!$A$1:$G$49,MATCH(orders!$D287,products!$A$1:$A$49,0),MATCH(orders!K$1,products!$A$1:$G$1,0))</f>
        <v>2.5</v>
      </c>
      <c r="L287" s="5">
        <f>INDEX(products!$A$1:$G$49,MATCH(orders!$D287,products!$A$1:$A$49,0),MATCH(orders!L$1,products!$A$1:$G$1,0))</f>
        <v>36.454999999999998</v>
      </c>
      <c r="M287">
        <f>L287*E287</f>
        <v>36.454999999999998</v>
      </c>
      <c r="N287" t="str">
        <f>IF(I287="Rob","Robusta",IF(I287="Exc","Excelsa",IF(I287="Ara","Arabica",IF(I287="Lib","Liberica",""))))</f>
        <v>Liberica</v>
      </c>
      <c r="O287" t="str">
        <f t="shared" si="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9">
        <f>INDEX(products!$A$1:$G$49,MATCH(orders!$D288,products!$A$1:$A$49,0),MATCH(orders!K$1,products!$A$1:$G$1,0))</f>
        <v>0.2</v>
      </c>
      <c r="L288" s="5">
        <f>INDEX(products!$A$1:$G$49,MATCH(orders!$D288,products!$A$1:$A$49,0),MATCH(orders!L$1,products!$A$1:$G$1,0))</f>
        <v>3.375</v>
      </c>
      <c r="M288">
        <f>L288*E288</f>
        <v>13.5</v>
      </c>
      <c r="N288" t="str">
        <f>IF(I288="Rob","Robusta",IF(I288="Exc","Excelsa",IF(I288="Ara","Arabica",IF(I288="Lib","Liberica",""))))</f>
        <v>Arabica</v>
      </c>
      <c r="O288" t="str">
        <f t="shared" si="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9">
        <f>INDEX(products!$A$1:$G$49,MATCH(orders!$D289,products!$A$1:$A$49,0),MATCH(orders!K$1,products!$A$1:$G$1,0))</f>
        <v>0.2</v>
      </c>
      <c r="L289" s="5">
        <f>INDEX(products!$A$1:$G$49,MATCH(orders!$D289,products!$A$1:$A$49,0),MATCH(orders!L$1,products!$A$1:$G$1,0))</f>
        <v>3.5849999999999995</v>
      </c>
      <c r="M289">
        <f>L289*E289</f>
        <v>14.339999999999998</v>
      </c>
      <c r="N289" t="str">
        <f>IF(I289="Rob","Robusta",IF(I289="Exc","Excelsa",IF(I289="Ara","Arabica",IF(I289="Lib","Liberica",""))))</f>
        <v>Robusta</v>
      </c>
      <c r="O289" t="str">
        <f t="shared" si="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f>_xlfn.XLOOKUP(C290,customers!$A$1:$A$1001,customers!$C$1:$C$1001,,0)</f>
        <v>0</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9">
        <f>INDEX(products!$A$1:$G$49,MATCH(orders!$D290,products!$A$1:$A$49,0),MATCH(orders!K$1,products!$A$1:$G$1,0))</f>
        <v>0.5</v>
      </c>
      <c r="L290" s="5">
        <f>INDEX(products!$A$1:$G$49,MATCH(orders!$D290,products!$A$1:$A$49,0),MATCH(orders!L$1,products!$A$1:$G$1,0))</f>
        <v>8.25</v>
      </c>
      <c r="M290">
        <f>L290*E290</f>
        <v>8.25</v>
      </c>
      <c r="N290" t="str">
        <f>IF(I290="Rob","Robusta",IF(I290="Exc","Excelsa",IF(I290="Ara","Arabica",IF(I290="Lib","Liberica",""))))</f>
        <v>Excelsa</v>
      </c>
      <c r="O290" t="str">
        <f t="shared" si="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f>_xlfn.XLOOKUP(C291,customers!$A$1:$A$1001,customers!$C$1:$C$1001,,0)</f>
        <v>0</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9">
        <f>INDEX(products!$A$1:$G$49,MATCH(orders!$D291,products!$A$1:$A$49,0),MATCH(orders!K$1,products!$A$1:$G$1,0))</f>
        <v>0.2</v>
      </c>
      <c r="L291" s="5">
        <f>INDEX(products!$A$1:$G$49,MATCH(orders!$D291,products!$A$1:$A$49,0),MATCH(orders!L$1,products!$A$1:$G$1,0))</f>
        <v>2.6849999999999996</v>
      </c>
      <c r="M291">
        <f>L291*E291</f>
        <v>13.424999999999997</v>
      </c>
      <c r="N291" t="str">
        <f>IF(I291="Rob","Robusta",IF(I291="Exc","Excelsa",IF(I291="Ara","Arabica",IF(I291="Lib","Liberica",""))))</f>
        <v>Robusta</v>
      </c>
      <c r="O291" t="str">
        <f t="shared" si="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9">
        <f>INDEX(products!$A$1:$G$49,MATCH(orders!$D292,products!$A$1:$A$49,0),MATCH(orders!K$1,products!$A$1:$G$1,0))</f>
        <v>1</v>
      </c>
      <c r="L292" s="5">
        <f>INDEX(products!$A$1:$G$49,MATCH(orders!$D292,products!$A$1:$A$49,0),MATCH(orders!L$1,products!$A$1:$G$1,0))</f>
        <v>9.9499999999999993</v>
      </c>
      <c r="M292">
        <f>L292*E292</f>
        <v>49.75</v>
      </c>
      <c r="N292" t="str">
        <f>IF(I292="Rob","Robusta",IF(I292="Exc","Excelsa",IF(I292="Ara","Arabica",IF(I292="Lib","Liberica",""))))</f>
        <v>Arabica</v>
      </c>
      <c r="O292" t="str">
        <f t="shared" si="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f>_xlfn.XLOOKUP(C293,customers!$A$1:$A$1001,customers!$C$1:$C$1001,,0)</f>
        <v>0</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9">
        <f>INDEX(products!$A$1:$G$49,MATCH(orders!$D293,products!$A$1:$A$49,0),MATCH(orders!K$1,products!$A$1:$G$1,0))</f>
        <v>0.5</v>
      </c>
      <c r="L293" s="5">
        <f>INDEX(products!$A$1:$G$49,MATCH(orders!$D293,products!$A$1:$A$49,0),MATCH(orders!L$1,products!$A$1:$G$1,0))</f>
        <v>8.25</v>
      </c>
      <c r="M293">
        <f>L293*E293</f>
        <v>16.5</v>
      </c>
      <c r="N293" t="str">
        <f>IF(I293="Rob","Robusta",IF(I293="Exc","Excelsa",IF(I293="Ara","Arabica",IF(I293="Lib","Liberica",""))))</f>
        <v>Excelsa</v>
      </c>
      <c r="O293" t="str">
        <f t="shared" si="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9">
        <f>INDEX(products!$A$1:$G$49,MATCH(orders!$D294,products!$A$1:$A$49,0),MATCH(orders!K$1,products!$A$1:$G$1,0))</f>
        <v>0.5</v>
      </c>
      <c r="L294" s="5">
        <f>INDEX(products!$A$1:$G$49,MATCH(orders!$D294,products!$A$1:$A$49,0),MATCH(orders!L$1,products!$A$1:$G$1,0))</f>
        <v>5.97</v>
      </c>
      <c r="M294">
        <f>L294*E294</f>
        <v>17.91</v>
      </c>
      <c r="N294" t="str">
        <f>IF(I294="Rob","Robusta",IF(I294="Exc","Excelsa",IF(I294="Ara","Arabica",IF(I294="Lib","Liberica",""))))</f>
        <v>Arabica</v>
      </c>
      <c r="O294" t="str">
        <f t="shared" si="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9">
        <f>INDEX(products!$A$1:$G$49,MATCH(orders!$D295,products!$A$1:$A$49,0),MATCH(orders!K$1,products!$A$1:$G$1,0))</f>
        <v>0.5</v>
      </c>
      <c r="L295" s="5">
        <f>INDEX(products!$A$1:$G$49,MATCH(orders!$D295,products!$A$1:$A$49,0),MATCH(orders!L$1,products!$A$1:$G$1,0))</f>
        <v>5.97</v>
      </c>
      <c r="M295">
        <f>L295*E295</f>
        <v>29.849999999999998</v>
      </c>
      <c r="N295" t="str">
        <f>IF(I295="Rob","Robusta",IF(I295="Exc","Excelsa",IF(I295="Ara","Arabica",IF(I295="Lib","Liberica",""))))</f>
        <v>Arabica</v>
      </c>
      <c r="O295" t="str">
        <f t="shared" si="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f>_xlfn.XLOOKUP(C296,customers!$A$1:$A$1001,customers!$C$1:$C$1001,,0)</f>
        <v>0</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9">
        <f>INDEX(products!$A$1:$G$49,MATCH(orders!$D296,products!$A$1:$A$49,0),MATCH(orders!K$1,products!$A$1:$G$1,0))</f>
        <v>1</v>
      </c>
      <c r="L296" s="5">
        <f>INDEX(products!$A$1:$G$49,MATCH(orders!$D296,products!$A$1:$A$49,0),MATCH(orders!L$1,products!$A$1:$G$1,0))</f>
        <v>14.85</v>
      </c>
      <c r="M296">
        <f>L296*E296</f>
        <v>44.55</v>
      </c>
      <c r="N296" t="str">
        <f>IF(I296="Rob","Robusta",IF(I296="Exc","Excelsa",IF(I296="Ara","Arabica",IF(I296="Lib","Liberica",""))))</f>
        <v>Excelsa</v>
      </c>
      <c r="O296" t="str">
        <f t="shared" si="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f>_xlfn.XLOOKUP(C297,customers!$A$1:$A$1001,customers!$C$1:$C$1001,,0)</f>
        <v>0</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9">
        <f>INDEX(products!$A$1:$G$49,MATCH(orders!$D297,products!$A$1:$A$49,0),MATCH(orders!K$1,products!$A$1:$G$1,0))</f>
        <v>1</v>
      </c>
      <c r="L297" s="5">
        <f>INDEX(products!$A$1:$G$49,MATCH(orders!$D297,products!$A$1:$A$49,0),MATCH(orders!L$1,products!$A$1:$G$1,0))</f>
        <v>13.75</v>
      </c>
      <c r="M297">
        <f>L297*E297</f>
        <v>27.5</v>
      </c>
      <c r="N297" t="str">
        <f>IF(I297="Rob","Robusta",IF(I297="Exc","Excelsa",IF(I297="Ara","Arabica",IF(I297="Lib","Liberica",""))))</f>
        <v>Excelsa</v>
      </c>
      <c r="O297" t="str">
        <f t="shared" si="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9">
        <f>INDEX(products!$A$1:$G$49,MATCH(orders!$D298,products!$A$1:$A$49,0),MATCH(orders!K$1,products!$A$1:$G$1,0))</f>
        <v>0.5</v>
      </c>
      <c r="L298" s="5">
        <f>INDEX(products!$A$1:$G$49,MATCH(orders!$D298,products!$A$1:$A$49,0),MATCH(orders!L$1,products!$A$1:$G$1,0))</f>
        <v>5.97</v>
      </c>
      <c r="M298">
        <f>L298*E298</f>
        <v>35.82</v>
      </c>
      <c r="N298" t="str">
        <f>IF(I298="Rob","Robusta",IF(I298="Exc","Excelsa",IF(I298="Ara","Arabica",IF(I298="Lib","Liberica",""))))</f>
        <v>Robusta</v>
      </c>
      <c r="O298" t="str">
        <f t="shared" si="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9">
        <f>INDEX(products!$A$1:$G$49,MATCH(orders!$D299,products!$A$1:$A$49,0),MATCH(orders!K$1,products!$A$1:$G$1,0))</f>
        <v>0.5</v>
      </c>
      <c r="L299" s="5">
        <f>INDEX(products!$A$1:$G$49,MATCH(orders!$D299,products!$A$1:$A$49,0),MATCH(orders!L$1,products!$A$1:$G$1,0))</f>
        <v>5.3699999999999992</v>
      </c>
      <c r="M299">
        <f>L299*E299</f>
        <v>16.11</v>
      </c>
      <c r="N299" t="str">
        <f>IF(I299="Rob","Robusta",IF(I299="Exc","Excelsa",IF(I299="Ara","Arabica",IF(I299="Lib","Liberica",""))))</f>
        <v>Robusta</v>
      </c>
      <c r="O299" t="str">
        <f t="shared" si="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9">
        <f>INDEX(products!$A$1:$G$49,MATCH(orders!$D300,products!$A$1:$A$49,0),MATCH(orders!K$1,products!$A$1:$G$1,0))</f>
        <v>0.2</v>
      </c>
      <c r="L300" s="5">
        <f>INDEX(products!$A$1:$G$49,MATCH(orders!$D300,products!$A$1:$A$49,0),MATCH(orders!L$1,products!$A$1:$G$1,0))</f>
        <v>4.4550000000000001</v>
      </c>
      <c r="M300">
        <f>L300*E300</f>
        <v>26.73</v>
      </c>
      <c r="N300" t="str">
        <f>IF(I300="Rob","Robusta",IF(I300="Exc","Excelsa",IF(I300="Ara","Arabica",IF(I300="Lib","Liberica",""))))</f>
        <v>Excelsa</v>
      </c>
      <c r="O300" t="str">
        <f t="shared" si="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9">
        <f>INDEX(products!$A$1:$G$49,MATCH(orders!$D301,products!$A$1:$A$49,0),MATCH(orders!K$1,products!$A$1:$G$1,0))</f>
        <v>2.5</v>
      </c>
      <c r="L301" s="5">
        <f>INDEX(products!$A$1:$G$49,MATCH(orders!$D301,products!$A$1:$A$49,0),MATCH(orders!L$1,products!$A$1:$G$1,0))</f>
        <v>34.154999999999994</v>
      </c>
      <c r="M301">
        <f>L301*E301</f>
        <v>204.92999999999995</v>
      </c>
      <c r="N301" t="str">
        <f>IF(I301="Rob","Robusta",IF(I301="Exc","Excelsa",IF(I301="Ara","Arabica",IF(I301="Lib","Liberica",""))))</f>
        <v>Excelsa</v>
      </c>
      <c r="O301" t="str">
        <f t="shared" si="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9">
        <f>INDEX(products!$A$1:$G$49,MATCH(orders!$D302,products!$A$1:$A$49,0),MATCH(orders!K$1,products!$A$1:$G$1,0))</f>
        <v>1</v>
      </c>
      <c r="L302" s="5">
        <f>INDEX(products!$A$1:$G$49,MATCH(orders!$D302,products!$A$1:$A$49,0),MATCH(orders!L$1,products!$A$1:$G$1,0))</f>
        <v>12.95</v>
      </c>
      <c r="M302">
        <f>L302*E302</f>
        <v>38.849999999999994</v>
      </c>
      <c r="N302" t="str">
        <f>IF(I302="Rob","Robusta",IF(I302="Exc","Excelsa",IF(I302="Ara","Arabica",IF(I302="Lib","Liberica",""))))</f>
        <v>Arabica</v>
      </c>
      <c r="O302" t="str">
        <f t="shared" si="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9">
        <f>INDEX(products!$A$1:$G$49,MATCH(orders!$D303,products!$A$1:$A$49,0),MATCH(orders!K$1,products!$A$1:$G$1,0))</f>
        <v>0.2</v>
      </c>
      <c r="L303" s="5">
        <f>INDEX(products!$A$1:$G$49,MATCH(orders!$D303,products!$A$1:$A$49,0),MATCH(orders!L$1,products!$A$1:$G$1,0))</f>
        <v>3.8849999999999998</v>
      </c>
      <c r="M303">
        <f>L303*E303</f>
        <v>15.54</v>
      </c>
      <c r="N303" t="str">
        <f>IF(I303="Rob","Robusta",IF(I303="Exc","Excelsa",IF(I303="Ara","Arabica",IF(I303="Lib","Liberica",""))))</f>
        <v>Liberica</v>
      </c>
      <c r="O303" t="str">
        <f t="shared" si="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9">
        <f>INDEX(products!$A$1:$G$49,MATCH(orders!$D304,products!$A$1:$A$49,0),MATCH(orders!K$1,products!$A$1:$G$1,0))</f>
        <v>0.5</v>
      </c>
      <c r="L304" s="5">
        <f>INDEX(products!$A$1:$G$49,MATCH(orders!$D304,products!$A$1:$A$49,0),MATCH(orders!L$1,products!$A$1:$G$1,0))</f>
        <v>6.75</v>
      </c>
      <c r="M304">
        <f>L304*E304</f>
        <v>6.75</v>
      </c>
      <c r="N304" t="str">
        <f>IF(I304="Rob","Robusta",IF(I304="Exc","Excelsa",IF(I304="Ara","Arabica",IF(I304="Lib","Liberica",""))))</f>
        <v>Arabica</v>
      </c>
      <c r="O304" t="str">
        <f t="shared" si="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9">
        <f>INDEX(products!$A$1:$G$49,MATCH(orders!$D305,products!$A$1:$A$49,0),MATCH(orders!K$1,products!$A$1:$G$1,0))</f>
        <v>2.5</v>
      </c>
      <c r="L305" s="5">
        <f>INDEX(products!$A$1:$G$49,MATCH(orders!$D305,products!$A$1:$A$49,0),MATCH(orders!L$1,products!$A$1:$G$1,0))</f>
        <v>27.945</v>
      </c>
      <c r="M305">
        <f>L305*E305</f>
        <v>111.78</v>
      </c>
      <c r="N305" t="str">
        <f>IF(I305="Rob","Robusta",IF(I305="Exc","Excelsa",IF(I305="Ara","Arabica",IF(I305="Lib","Liberica",""))))</f>
        <v>Excelsa</v>
      </c>
      <c r="O305" t="str">
        <f t="shared" si="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9">
        <f>INDEX(products!$A$1:$G$49,MATCH(orders!$D306,products!$A$1:$A$49,0),MATCH(orders!K$1,products!$A$1:$G$1,0))</f>
        <v>0.2</v>
      </c>
      <c r="L306" s="5">
        <f>INDEX(products!$A$1:$G$49,MATCH(orders!$D306,products!$A$1:$A$49,0),MATCH(orders!L$1,products!$A$1:$G$1,0))</f>
        <v>3.8849999999999998</v>
      </c>
      <c r="M306">
        <f>L306*E306</f>
        <v>3.8849999999999998</v>
      </c>
      <c r="N306" t="str">
        <f>IF(I306="Rob","Robusta",IF(I306="Exc","Excelsa",IF(I306="Ara","Arabica",IF(I306="Lib","Liberica",""))))</f>
        <v>Arabica</v>
      </c>
      <c r="O306" t="str">
        <f t="shared" si="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9">
        <f>INDEX(products!$A$1:$G$49,MATCH(orders!$D307,products!$A$1:$A$49,0),MATCH(orders!K$1,products!$A$1:$G$1,0))</f>
        <v>0.2</v>
      </c>
      <c r="L307" s="5">
        <f>INDEX(products!$A$1:$G$49,MATCH(orders!$D307,products!$A$1:$A$49,0),MATCH(orders!L$1,products!$A$1:$G$1,0))</f>
        <v>4.3650000000000002</v>
      </c>
      <c r="M307">
        <f>L307*E307</f>
        <v>21.825000000000003</v>
      </c>
      <c r="N307" t="str">
        <f>IF(I307="Rob","Robusta",IF(I307="Exc","Excelsa",IF(I307="Ara","Arabica",IF(I307="Lib","Liberica",""))))</f>
        <v>Liberica</v>
      </c>
      <c r="O307" t="str">
        <f t="shared" si="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9">
        <f>INDEX(products!$A$1:$G$49,MATCH(orders!$D308,products!$A$1:$A$49,0),MATCH(orders!K$1,products!$A$1:$G$1,0))</f>
        <v>0.2</v>
      </c>
      <c r="L308" s="5">
        <f>INDEX(products!$A$1:$G$49,MATCH(orders!$D308,products!$A$1:$A$49,0),MATCH(orders!L$1,products!$A$1:$G$1,0))</f>
        <v>2.9849999999999999</v>
      </c>
      <c r="M308">
        <f>L308*E308</f>
        <v>14.924999999999999</v>
      </c>
      <c r="N308" t="str">
        <f>IF(I308="Rob","Robusta",IF(I308="Exc","Excelsa",IF(I308="Ara","Arabica",IF(I308="Lib","Liberica",""))))</f>
        <v>Robusta</v>
      </c>
      <c r="O308" t="str">
        <f t="shared" si="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9">
        <f>INDEX(products!$A$1:$G$49,MATCH(orders!$D309,products!$A$1:$A$49,0),MATCH(orders!K$1,products!$A$1:$G$1,0))</f>
        <v>1</v>
      </c>
      <c r="L309" s="5">
        <f>INDEX(products!$A$1:$G$49,MATCH(orders!$D309,products!$A$1:$A$49,0),MATCH(orders!L$1,products!$A$1:$G$1,0))</f>
        <v>11.25</v>
      </c>
      <c r="M309">
        <f>L309*E309</f>
        <v>33.75</v>
      </c>
      <c r="N309" t="str">
        <f>IF(I309="Rob","Robusta",IF(I309="Exc","Excelsa",IF(I309="Ara","Arabica",IF(I309="Lib","Liberica",""))))</f>
        <v>Arabica</v>
      </c>
      <c r="O309" t="str">
        <f t="shared" si="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9">
        <f>INDEX(products!$A$1:$G$49,MATCH(orders!$D310,products!$A$1:$A$49,0),MATCH(orders!K$1,products!$A$1:$G$1,0))</f>
        <v>1</v>
      </c>
      <c r="L310" s="5">
        <f>INDEX(products!$A$1:$G$49,MATCH(orders!$D310,products!$A$1:$A$49,0),MATCH(orders!L$1,products!$A$1:$G$1,0))</f>
        <v>11.25</v>
      </c>
      <c r="M310">
        <f>L310*E310</f>
        <v>33.75</v>
      </c>
      <c r="N310" t="str">
        <f>IF(I310="Rob","Robusta",IF(I310="Exc","Excelsa",IF(I310="Ara","Arabica",IF(I310="Lib","Liberica",""))))</f>
        <v>Arabica</v>
      </c>
      <c r="O310" t="str">
        <f t="shared" si="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9">
        <f>INDEX(products!$A$1:$G$49,MATCH(orders!$D311,products!$A$1:$A$49,0),MATCH(orders!K$1,products!$A$1:$G$1,0))</f>
        <v>0.2</v>
      </c>
      <c r="L311" s="5">
        <f>INDEX(products!$A$1:$G$49,MATCH(orders!$D311,products!$A$1:$A$49,0),MATCH(orders!L$1,products!$A$1:$G$1,0))</f>
        <v>4.3650000000000002</v>
      </c>
      <c r="M311">
        <f>L311*E311</f>
        <v>26.19</v>
      </c>
      <c r="N311" t="str">
        <f>IF(I311="Rob","Robusta",IF(I311="Exc","Excelsa",IF(I311="Ara","Arabica",IF(I311="Lib","Liberica",""))))</f>
        <v>Liberica</v>
      </c>
      <c r="O311" t="str">
        <f t="shared" si="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9">
        <f>INDEX(products!$A$1:$G$49,MATCH(orders!$D312,products!$A$1:$A$49,0),MATCH(orders!K$1,products!$A$1:$G$1,0))</f>
        <v>1</v>
      </c>
      <c r="L312" s="5">
        <f>INDEX(products!$A$1:$G$49,MATCH(orders!$D312,products!$A$1:$A$49,0),MATCH(orders!L$1,products!$A$1:$G$1,0))</f>
        <v>14.85</v>
      </c>
      <c r="M312">
        <f>L312*E312</f>
        <v>14.85</v>
      </c>
      <c r="N312" t="str">
        <f>IF(I312="Rob","Robusta",IF(I312="Exc","Excelsa",IF(I312="Ara","Arabica",IF(I312="Lib","Liberica",""))))</f>
        <v>Excelsa</v>
      </c>
      <c r="O312" t="str">
        <f t="shared" si="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9">
        <f>INDEX(products!$A$1:$G$49,MATCH(orders!$D313,products!$A$1:$A$49,0),MATCH(orders!K$1,products!$A$1:$G$1,0))</f>
        <v>2.5</v>
      </c>
      <c r="L313" s="5">
        <f>INDEX(products!$A$1:$G$49,MATCH(orders!$D313,products!$A$1:$A$49,0),MATCH(orders!L$1,products!$A$1:$G$1,0))</f>
        <v>31.624999999999996</v>
      </c>
      <c r="M313">
        <f>L313*E313</f>
        <v>189.74999999999997</v>
      </c>
      <c r="N313" t="str">
        <f>IF(I313="Rob","Robusta",IF(I313="Exc","Excelsa",IF(I313="Ara","Arabica",IF(I313="Lib","Liberica",""))))</f>
        <v>Excelsa</v>
      </c>
      <c r="O313" t="str">
        <f t="shared" si="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9">
        <f>INDEX(products!$A$1:$G$49,MATCH(orders!$D314,products!$A$1:$A$49,0),MATCH(orders!K$1,products!$A$1:$G$1,0))</f>
        <v>0.5</v>
      </c>
      <c r="L314" s="5">
        <f>INDEX(products!$A$1:$G$49,MATCH(orders!$D314,products!$A$1:$A$49,0),MATCH(orders!L$1,products!$A$1:$G$1,0))</f>
        <v>5.97</v>
      </c>
      <c r="M314">
        <f>L314*E314</f>
        <v>5.97</v>
      </c>
      <c r="N314" t="str">
        <f>IF(I314="Rob","Robusta",IF(I314="Exc","Excelsa",IF(I314="Ara","Arabica",IF(I314="Lib","Liberica",""))))</f>
        <v>Robusta</v>
      </c>
      <c r="O314" t="str">
        <f t="shared" si="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9">
        <f>INDEX(products!$A$1:$G$49,MATCH(orders!$D315,products!$A$1:$A$49,0),MATCH(orders!K$1,products!$A$1:$G$1,0))</f>
        <v>1</v>
      </c>
      <c r="L315" s="5">
        <f>INDEX(products!$A$1:$G$49,MATCH(orders!$D315,products!$A$1:$A$49,0),MATCH(orders!L$1,products!$A$1:$G$1,0))</f>
        <v>9.9499999999999993</v>
      </c>
      <c r="M315">
        <f>L315*E315</f>
        <v>29.849999999999998</v>
      </c>
      <c r="N315" t="str">
        <f>IF(I315="Rob","Robusta",IF(I315="Exc","Excelsa",IF(I315="Ara","Arabica",IF(I315="Lib","Liberica",""))))</f>
        <v>Robusta</v>
      </c>
      <c r="O315" t="str">
        <f t="shared" si="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f>_xlfn.XLOOKUP(C316,customers!$A$1:$A$1001,customers!$C$1:$C$1001,,0)</f>
        <v>0</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9">
        <f>INDEX(products!$A$1:$G$49,MATCH(orders!$D316,products!$A$1:$A$49,0),MATCH(orders!K$1,products!$A$1:$G$1,0))</f>
        <v>1</v>
      </c>
      <c r="L316" s="5">
        <f>INDEX(products!$A$1:$G$49,MATCH(orders!$D316,products!$A$1:$A$49,0),MATCH(orders!L$1,products!$A$1:$G$1,0))</f>
        <v>8.9499999999999993</v>
      </c>
      <c r="M316">
        <f>L316*E316</f>
        <v>44.75</v>
      </c>
      <c r="N316" t="str">
        <f>IF(I316="Rob","Robusta",IF(I316="Exc","Excelsa",IF(I316="Ara","Arabica",IF(I316="Lib","Liberica",""))))</f>
        <v>Robusta</v>
      </c>
      <c r="O316" t="str">
        <f t="shared" si="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9">
        <f>INDEX(products!$A$1:$G$49,MATCH(orders!$D317,products!$A$1:$A$49,0),MATCH(orders!K$1,products!$A$1:$G$1,0))</f>
        <v>2.5</v>
      </c>
      <c r="L317" s="5">
        <f>INDEX(products!$A$1:$G$49,MATCH(orders!$D317,products!$A$1:$A$49,0),MATCH(orders!L$1,products!$A$1:$G$1,0))</f>
        <v>34.154999999999994</v>
      </c>
      <c r="M317">
        <f>L317*E317</f>
        <v>34.154999999999994</v>
      </c>
      <c r="N317" t="str">
        <f>IF(I317="Rob","Robusta",IF(I317="Exc","Excelsa",IF(I317="Ara","Arabica",IF(I317="Lib","Liberica",""))))</f>
        <v>Excelsa</v>
      </c>
      <c r="O317" t="str">
        <f t="shared" si="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9">
        <f>INDEX(products!$A$1:$G$49,MATCH(orders!$D318,products!$A$1:$A$49,0),MATCH(orders!K$1,products!$A$1:$G$1,0))</f>
        <v>2.5</v>
      </c>
      <c r="L318" s="5">
        <f>INDEX(products!$A$1:$G$49,MATCH(orders!$D318,products!$A$1:$A$49,0),MATCH(orders!L$1,products!$A$1:$G$1,0))</f>
        <v>34.154999999999994</v>
      </c>
      <c r="M318">
        <f>L318*E318</f>
        <v>204.92999999999995</v>
      </c>
      <c r="N318" t="str">
        <f>IF(I318="Rob","Robusta",IF(I318="Exc","Excelsa",IF(I318="Ara","Arabica",IF(I318="Lib","Liberica",""))))</f>
        <v>Excelsa</v>
      </c>
      <c r="O318" t="str">
        <f t="shared" si="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9">
        <f>INDEX(products!$A$1:$G$49,MATCH(orders!$D319,products!$A$1:$A$49,0),MATCH(orders!K$1,products!$A$1:$G$1,0))</f>
        <v>0.5</v>
      </c>
      <c r="L319" s="5">
        <f>INDEX(products!$A$1:$G$49,MATCH(orders!$D319,products!$A$1:$A$49,0),MATCH(orders!L$1,products!$A$1:$G$1,0))</f>
        <v>7.29</v>
      </c>
      <c r="M319">
        <f>L319*E319</f>
        <v>21.87</v>
      </c>
      <c r="N319" t="str">
        <f>IF(I319="Rob","Robusta",IF(I319="Exc","Excelsa",IF(I319="Ara","Arabica",IF(I319="Lib","Liberica",""))))</f>
        <v>Excelsa</v>
      </c>
      <c r="O319" t="str">
        <f t="shared" si="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9">
        <f>INDEX(products!$A$1:$G$49,MATCH(orders!$D320,products!$A$1:$A$49,0),MATCH(orders!K$1,products!$A$1:$G$1,0))</f>
        <v>2.5</v>
      </c>
      <c r="L320" s="5">
        <f>INDEX(products!$A$1:$G$49,MATCH(orders!$D320,products!$A$1:$A$49,0),MATCH(orders!L$1,products!$A$1:$G$1,0))</f>
        <v>25.874999999999996</v>
      </c>
      <c r="M320">
        <f>L320*E320</f>
        <v>51.749999999999993</v>
      </c>
      <c r="N320" t="str">
        <f>IF(I320="Rob","Robusta",IF(I320="Exc","Excelsa",IF(I320="Ara","Arabica",IF(I320="Lib","Liberica",""))))</f>
        <v>Arabica</v>
      </c>
      <c r="O320" t="str">
        <f t="shared" si="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9">
        <f>INDEX(products!$A$1:$G$49,MATCH(orders!$D321,products!$A$1:$A$49,0),MATCH(orders!K$1,products!$A$1:$G$1,0))</f>
        <v>0.2</v>
      </c>
      <c r="L321" s="5">
        <f>INDEX(products!$A$1:$G$49,MATCH(orders!$D321,products!$A$1:$A$49,0),MATCH(orders!L$1,products!$A$1:$G$1,0))</f>
        <v>4.125</v>
      </c>
      <c r="M321">
        <f>L321*E321</f>
        <v>8.25</v>
      </c>
      <c r="N321" t="str">
        <f>IF(I321="Rob","Robusta",IF(I321="Exc","Excelsa",IF(I321="Ara","Arabica",IF(I321="Lib","Liberica",""))))</f>
        <v>Excelsa</v>
      </c>
      <c r="O321" t="str">
        <f t="shared" si="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9">
        <f>INDEX(products!$A$1:$G$49,MATCH(orders!$D322,products!$A$1:$A$49,0),MATCH(orders!K$1,products!$A$1:$G$1,0))</f>
        <v>0.2</v>
      </c>
      <c r="L322" s="5">
        <f>INDEX(products!$A$1:$G$49,MATCH(orders!$D322,products!$A$1:$A$49,0),MATCH(orders!L$1,products!$A$1:$G$1,0))</f>
        <v>3.8849999999999998</v>
      </c>
      <c r="M322">
        <f>L322*E322</f>
        <v>19.424999999999997</v>
      </c>
      <c r="N322" t="str">
        <f>IF(I322="Rob","Robusta",IF(I322="Exc","Excelsa",IF(I322="Ara","Arabica",IF(I322="Lib","Liberica",""))))</f>
        <v>Arabica</v>
      </c>
      <c r="O322" t="str">
        <f t="shared" si="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9">
        <f>INDEX(products!$A$1:$G$49,MATCH(orders!$D323,products!$A$1:$A$49,0),MATCH(orders!K$1,products!$A$1:$G$1,0))</f>
        <v>0.2</v>
      </c>
      <c r="L323" s="5">
        <f>INDEX(products!$A$1:$G$49,MATCH(orders!$D323,products!$A$1:$A$49,0),MATCH(orders!L$1,products!$A$1:$G$1,0))</f>
        <v>3.375</v>
      </c>
      <c r="M323">
        <f>L323*E323</f>
        <v>20.25</v>
      </c>
      <c r="N323" t="str">
        <f>IF(I323="Rob","Robusta",IF(I323="Exc","Excelsa",IF(I323="Ara","Arabica",IF(I323="Lib","Liberica",""))))</f>
        <v>Arabica</v>
      </c>
      <c r="O323" t="str">
        <f t="shared" ref="O323:O386" si="5">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9">
        <f>INDEX(products!$A$1:$G$49,MATCH(orders!$D324,products!$A$1:$A$49,0),MATCH(orders!K$1,products!$A$1:$G$1,0))</f>
        <v>0.5</v>
      </c>
      <c r="L324" s="5">
        <f>INDEX(products!$A$1:$G$49,MATCH(orders!$D324,products!$A$1:$A$49,0),MATCH(orders!L$1,products!$A$1:$G$1,0))</f>
        <v>7.77</v>
      </c>
      <c r="M324">
        <f>L324*E324</f>
        <v>23.31</v>
      </c>
      <c r="N324" t="str">
        <f>IF(I324="Rob","Robusta",IF(I324="Exc","Excelsa",IF(I324="Ara","Arabica",IF(I324="Lib","Liberica",""))))</f>
        <v>Liberica</v>
      </c>
      <c r="O324" t="str">
        <f t="shared" si="5"/>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9">
        <f>INDEX(products!$A$1:$G$49,MATCH(orders!$D325,products!$A$1:$A$49,0),MATCH(orders!K$1,products!$A$1:$G$1,0))</f>
        <v>0.2</v>
      </c>
      <c r="L325" s="5">
        <f>INDEX(products!$A$1:$G$49,MATCH(orders!$D325,products!$A$1:$A$49,0),MATCH(orders!L$1,products!$A$1:$G$1,0))</f>
        <v>3.645</v>
      </c>
      <c r="M325">
        <f>L325*E325</f>
        <v>18.225000000000001</v>
      </c>
      <c r="N325" t="str">
        <f>IF(I325="Rob","Robusta",IF(I325="Exc","Excelsa",IF(I325="Ara","Arabica",IF(I325="Lib","Liberica",""))))</f>
        <v>Excelsa</v>
      </c>
      <c r="O325" t="str">
        <f t="shared" si="5"/>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f>_xlfn.XLOOKUP(C326,customers!$A$1:$A$1001,customers!$C$1:$C$1001,,0)</f>
        <v>0</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9">
        <f>INDEX(products!$A$1:$G$49,MATCH(orders!$D326,products!$A$1:$A$49,0),MATCH(orders!K$1,products!$A$1:$G$1,0))</f>
        <v>1</v>
      </c>
      <c r="L326" s="5">
        <f>INDEX(products!$A$1:$G$49,MATCH(orders!$D326,products!$A$1:$A$49,0),MATCH(orders!L$1,products!$A$1:$G$1,0))</f>
        <v>13.75</v>
      </c>
      <c r="M326">
        <f>L326*E326</f>
        <v>13.75</v>
      </c>
      <c r="N326" t="str">
        <f>IF(I326="Rob","Robusta",IF(I326="Exc","Excelsa",IF(I326="Ara","Arabica",IF(I326="Lib","Liberica",""))))</f>
        <v>Excelsa</v>
      </c>
      <c r="O326" t="str">
        <f t="shared" si="5"/>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9">
        <f>INDEX(products!$A$1:$G$49,MATCH(orders!$D327,products!$A$1:$A$49,0),MATCH(orders!K$1,products!$A$1:$G$1,0))</f>
        <v>2.5</v>
      </c>
      <c r="L327" s="5">
        <f>INDEX(products!$A$1:$G$49,MATCH(orders!$D327,products!$A$1:$A$49,0),MATCH(orders!L$1,products!$A$1:$G$1,0))</f>
        <v>29.784999999999997</v>
      </c>
      <c r="M327">
        <f>L327*E327</f>
        <v>29.784999999999997</v>
      </c>
      <c r="N327" t="str">
        <f>IF(I327="Rob","Robusta",IF(I327="Exc","Excelsa",IF(I327="Ara","Arabica",IF(I327="Lib","Liberica",""))))</f>
        <v>Arabica</v>
      </c>
      <c r="O327" t="str">
        <f t="shared" si="5"/>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f>_xlfn.XLOOKUP(C328,customers!$A$1:$A$1001,customers!$C$1:$C$1001,,0)</f>
        <v>0</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9">
        <f>INDEX(products!$A$1:$G$49,MATCH(orders!$D328,products!$A$1:$A$49,0),MATCH(orders!K$1,products!$A$1:$G$1,0))</f>
        <v>1</v>
      </c>
      <c r="L328" s="5">
        <f>INDEX(products!$A$1:$G$49,MATCH(orders!$D328,products!$A$1:$A$49,0),MATCH(orders!L$1,products!$A$1:$G$1,0))</f>
        <v>8.9499999999999993</v>
      </c>
      <c r="M328">
        <f>L328*E328</f>
        <v>44.75</v>
      </c>
      <c r="N328" t="str">
        <f>IF(I328="Rob","Robusta",IF(I328="Exc","Excelsa",IF(I328="Ara","Arabica",IF(I328="Lib","Liberica",""))))</f>
        <v>Robusta</v>
      </c>
      <c r="O328" t="str">
        <f t="shared" si="5"/>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9">
        <f>INDEX(products!$A$1:$G$49,MATCH(orders!$D329,products!$A$1:$A$49,0),MATCH(orders!K$1,products!$A$1:$G$1,0))</f>
        <v>1</v>
      </c>
      <c r="L329" s="5">
        <f>INDEX(products!$A$1:$G$49,MATCH(orders!$D329,products!$A$1:$A$49,0),MATCH(orders!L$1,products!$A$1:$G$1,0))</f>
        <v>8.9499999999999993</v>
      </c>
      <c r="M329">
        <f>L329*E329</f>
        <v>44.75</v>
      </c>
      <c r="N329" t="str">
        <f>IF(I329="Rob","Robusta",IF(I329="Exc","Excelsa",IF(I329="Ara","Arabica",IF(I329="Lib","Liberica",""))))</f>
        <v>Robusta</v>
      </c>
      <c r="O329" t="str">
        <f t="shared" si="5"/>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f>_xlfn.XLOOKUP(C330,customers!$A$1:$A$1001,customers!$C$1:$C$1001,,0)</f>
        <v>0</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9">
        <f>INDEX(products!$A$1:$G$49,MATCH(orders!$D330,products!$A$1:$A$49,0),MATCH(orders!K$1,products!$A$1:$G$1,0))</f>
        <v>0.5</v>
      </c>
      <c r="L330" s="5">
        <f>INDEX(products!$A$1:$G$49,MATCH(orders!$D330,products!$A$1:$A$49,0),MATCH(orders!L$1,products!$A$1:$G$1,0))</f>
        <v>9.51</v>
      </c>
      <c r="M330">
        <f>L330*E330</f>
        <v>38.04</v>
      </c>
      <c r="N330" t="str">
        <f>IF(I330="Rob","Robusta",IF(I330="Exc","Excelsa",IF(I330="Ara","Arabica",IF(I330="Lib","Liberica",""))))</f>
        <v>Liberica</v>
      </c>
      <c r="O330" t="str">
        <f t="shared" si="5"/>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9">
        <f>INDEX(products!$A$1:$G$49,MATCH(orders!$D331,products!$A$1:$A$49,0),MATCH(orders!K$1,products!$A$1:$G$1,0))</f>
        <v>0.5</v>
      </c>
      <c r="L331" s="5">
        <f>INDEX(products!$A$1:$G$49,MATCH(orders!$D331,products!$A$1:$A$49,0),MATCH(orders!L$1,products!$A$1:$G$1,0))</f>
        <v>5.3699999999999992</v>
      </c>
      <c r="M331">
        <f>L331*E331</f>
        <v>21.479999999999997</v>
      </c>
      <c r="N331" t="str">
        <f>IF(I331="Rob","Robusta",IF(I331="Exc","Excelsa",IF(I331="Ara","Arabica",IF(I331="Lib","Liberica",""))))</f>
        <v>Robusta</v>
      </c>
      <c r="O331" t="str">
        <f t="shared" si="5"/>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9">
        <f>INDEX(products!$A$1:$G$49,MATCH(orders!$D332,products!$A$1:$A$49,0),MATCH(orders!K$1,products!$A$1:$G$1,0))</f>
        <v>0.5</v>
      </c>
      <c r="L332" s="5">
        <f>INDEX(products!$A$1:$G$49,MATCH(orders!$D332,products!$A$1:$A$49,0),MATCH(orders!L$1,products!$A$1:$G$1,0))</f>
        <v>5.3699999999999992</v>
      </c>
      <c r="M332">
        <f>L332*E332</f>
        <v>16.11</v>
      </c>
      <c r="N332" t="str">
        <f>IF(I332="Rob","Robusta",IF(I332="Exc","Excelsa",IF(I332="Ara","Arabica",IF(I332="Lib","Liberica",""))))</f>
        <v>Robusta</v>
      </c>
      <c r="O332" t="str">
        <f t="shared" si="5"/>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9">
        <f>INDEX(products!$A$1:$G$49,MATCH(orders!$D333,products!$A$1:$A$49,0),MATCH(orders!K$1,products!$A$1:$G$1,0))</f>
        <v>2.5</v>
      </c>
      <c r="L333" s="5">
        <f>INDEX(products!$A$1:$G$49,MATCH(orders!$D333,products!$A$1:$A$49,0),MATCH(orders!L$1,products!$A$1:$G$1,0))</f>
        <v>22.884999999999998</v>
      </c>
      <c r="M333">
        <f>L333*E333</f>
        <v>22.884999999999998</v>
      </c>
      <c r="N333" t="str">
        <f>IF(I333="Rob","Robusta",IF(I333="Exc","Excelsa",IF(I333="Ara","Arabica",IF(I333="Lib","Liberica",""))))</f>
        <v>Robusta</v>
      </c>
      <c r="O333" t="str">
        <f t="shared" si="5"/>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9">
        <f>INDEX(products!$A$1:$G$49,MATCH(orders!$D334,products!$A$1:$A$49,0),MATCH(orders!K$1,products!$A$1:$G$1,0))</f>
        <v>0.5</v>
      </c>
      <c r="L334" s="5">
        <f>INDEX(products!$A$1:$G$49,MATCH(orders!$D334,products!$A$1:$A$49,0),MATCH(orders!L$1,products!$A$1:$G$1,0))</f>
        <v>5.97</v>
      </c>
      <c r="M334">
        <f>L334*E334</f>
        <v>17.91</v>
      </c>
      <c r="N334" t="str">
        <f>IF(I334="Rob","Robusta",IF(I334="Exc","Excelsa",IF(I334="Ara","Arabica",IF(I334="Lib","Liberica",""))))</f>
        <v>Arabica</v>
      </c>
      <c r="O334" t="str">
        <f t="shared" si="5"/>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9">
        <f>INDEX(products!$A$1:$G$49,MATCH(orders!$D335,products!$A$1:$A$49,0),MATCH(orders!K$1,products!$A$1:$G$1,0))</f>
        <v>0.5</v>
      </c>
      <c r="L335" s="5">
        <f>INDEX(products!$A$1:$G$49,MATCH(orders!$D335,products!$A$1:$A$49,0),MATCH(orders!L$1,products!$A$1:$G$1,0))</f>
        <v>5.97</v>
      </c>
      <c r="M335">
        <f>L335*E335</f>
        <v>23.88</v>
      </c>
      <c r="N335" t="str">
        <f>IF(I335="Rob","Robusta",IF(I335="Exc","Excelsa",IF(I335="Ara","Arabica",IF(I335="Lib","Liberica",""))))</f>
        <v>Robusta</v>
      </c>
      <c r="O335" t="str">
        <f t="shared" si="5"/>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f>_xlfn.XLOOKUP(C336,customers!$A$1:$A$1001,customers!$C$1:$C$1001,,0)</f>
        <v>0</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9">
        <f>INDEX(products!$A$1:$G$49,MATCH(orders!$D336,products!$A$1:$A$49,0),MATCH(orders!K$1,products!$A$1:$G$1,0))</f>
        <v>1</v>
      </c>
      <c r="L336" s="5">
        <f>INDEX(products!$A$1:$G$49,MATCH(orders!$D336,products!$A$1:$A$49,0),MATCH(orders!L$1,products!$A$1:$G$1,0))</f>
        <v>11.95</v>
      </c>
      <c r="M336">
        <f>L336*E336</f>
        <v>59.75</v>
      </c>
      <c r="N336" t="str">
        <f>IF(I336="Rob","Robusta",IF(I336="Exc","Excelsa",IF(I336="Ara","Arabica",IF(I336="Lib","Liberica",""))))</f>
        <v>Robusta</v>
      </c>
      <c r="O336" t="str">
        <f t="shared" si="5"/>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9">
        <f>INDEX(products!$A$1:$G$49,MATCH(orders!$D337,products!$A$1:$A$49,0),MATCH(orders!K$1,products!$A$1:$G$1,0))</f>
        <v>0.2</v>
      </c>
      <c r="L337" s="5">
        <f>INDEX(products!$A$1:$G$49,MATCH(orders!$D337,products!$A$1:$A$49,0),MATCH(orders!L$1,products!$A$1:$G$1,0))</f>
        <v>4.7549999999999999</v>
      </c>
      <c r="M337">
        <f>L337*E337</f>
        <v>28.53</v>
      </c>
      <c r="N337" t="str">
        <f>IF(I337="Rob","Robusta",IF(I337="Exc","Excelsa",IF(I337="Ara","Arabica",IF(I337="Lib","Liberica",""))))</f>
        <v>Liberica</v>
      </c>
      <c r="O337" t="str">
        <f t="shared" si="5"/>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9">
        <f>INDEX(products!$A$1:$G$49,MATCH(orders!$D338,products!$A$1:$A$49,0),MATCH(orders!K$1,products!$A$1:$G$1,0))</f>
        <v>1</v>
      </c>
      <c r="L338" s="5">
        <f>INDEX(products!$A$1:$G$49,MATCH(orders!$D338,products!$A$1:$A$49,0),MATCH(orders!L$1,products!$A$1:$G$1,0))</f>
        <v>11.25</v>
      </c>
      <c r="M338">
        <f>L338*E338</f>
        <v>45</v>
      </c>
      <c r="N338" t="str">
        <f>IF(I338="Rob","Robusta",IF(I338="Exc","Excelsa",IF(I338="Ara","Arabica",IF(I338="Lib","Liberica",""))))</f>
        <v>Arabica</v>
      </c>
      <c r="O338" t="str">
        <f t="shared" si="5"/>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f>_xlfn.XLOOKUP(C339,customers!$A$1:$A$1001,customers!$C$1:$C$1001,,0)</f>
        <v>0</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9">
        <f>INDEX(products!$A$1:$G$49,MATCH(orders!$D339,products!$A$1:$A$49,0),MATCH(orders!K$1,products!$A$1:$G$1,0))</f>
        <v>2.5</v>
      </c>
      <c r="L339" s="5">
        <f>INDEX(products!$A$1:$G$49,MATCH(orders!$D339,products!$A$1:$A$49,0),MATCH(orders!L$1,products!$A$1:$G$1,0))</f>
        <v>27.945</v>
      </c>
      <c r="M339">
        <f>L339*E339</f>
        <v>55.89</v>
      </c>
      <c r="N339" t="str">
        <f>IF(I339="Rob","Robusta",IF(I339="Exc","Excelsa",IF(I339="Ara","Arabica",IF(I339="Lib","Liberica",""))))</f>
        <v>Excelsa</v>
      </c>
      <c r="O339" t="str">
        <f t="shared" si="5"/>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9">
        <f>INDEX(products!$A$1:$G$49,MATCH(orders!$D340,products!$A$1:$A$49,0),MATCH(orders!K$1,products!$A$1:$G$1,0))</f>
        <v>1</v>
      </c>
      <c r="L340" s="5">
        <f>INDEX(products!$A$1:$G$49,MATCH(orders!$D340,products!$A$1:$A$49,0),MATCH(orders!L$1,products!$A$1:$G$1,0))</f>
        <v>14.85</v>
      </c>
      <c r="M340">
        <f>L340*E340</f>
        <v>59.4</v>
      </c>
      <c r="N340" t="str">
        <f>IF(I340="Rob","Robusta",IF(I340="Exc","Excelsa",IF(I340="Ara","Arabica",IF(I340="Lib","Liberica",""))))</f>
        <v>Excelsa</v>
      </c>
      <c r="O340" t="str">
        <f t="shared" si="5"/>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9">
        <f>INDEX(products!$A$1:$G$49,MATCH(orders!$D341,products!$A$1:$A$49,0),MATCH(orders!K$1,products!$A$1:$G$1,0))</f>
        <v>0.2</v>
      </c>
      <c r="L341" s="5">
        <f>INDEX(products!$A$1:$G$49,MATCH(orders!$D341,products!$A$1:$A$49,0),MATCH(orders!L$1,products!$A$1:$G$1,0))</f>
        <v>3.645</v>
      </c>
      <c r="M341">
        <f>L341*E341</f>
        <v>7.29</v>
      </c>
      <c r="N341" t="str">
        <f>IF(I341="Rob","Robusta",IF(I341="Exc","Excelsa",IF(I341="Ara","Arabica",IF(I341="Lib","Liberica",""))))</f>
        <v>Excelsa</v>
      </c>
      <c r="O341" t="str">
        <f t="shared" si="5"/>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9">
        <f>INDEX(products!$A$1:$G$49,MATCH(orders!$D342,products!$A$1:$A$49,0),MATCH(orders!K$1,products!$A$1:$G$1,0))</f>
        <v>0.5</v>
      </c>
      <c r="L342" s="5">
        <f>INDEX(products!$A$1:$G$49,MATCH(orders!$D342,products!$A$1:$A$49,0),MATCH(orders!L$1,products!$A$1:$G$1,0))</f>
        <v>7.29</v>
      </c>
      <c r="M342">
        <f>L342*E342</f>
        <v>7.29</v>
      </c>
      <c r="N342" t="str">
        <f>IF(I342="Rob","Robusta",IF(I342="Exc","Excelsa",IF(I342="Ara","Arabica",IF(I342="Lib","Liberica",""))))</f>
        <v>Excelsa</v>
      </c>
      <c r="O342" t="str">
        <f t="shared" si="5"/>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9">
        <f>INDEX(products!$A$1:$G$49,MATCH(orders!$D343,products!$A$1:$A$49,0),MATCH(orders!K$1,products!$A$1:$G$1,0))</f>
        <v>0.5</v>
      </c>
      <c r="L343" s="5">
        <f>INDEX(products!$A$1:$G$49,MATCH(orders!$D343,products!$A$1:$A$49,0),MATCH(orders!L$1,products!$A$1:$G$1,0))</f>
        <v>8.91</v>
      </c>
      <c r="M343">
        <f>L343*E343</f>
        <v>17.82</v>
      </c>
      <c r="N343" t="str">
        <f>IF(I343="Rob","Robusta",IF(I343="Exc","Excelsa",IF(I343="Ara","Arabica",IF(I343="Lib","Liberica",""))))</f>
        <v>Excelsa</v>
      </c>
      <c r="O343" t="str">
        <f t="shared" si="5"/>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9">
        <f>INDEX(products!$A$1:$G$49,MATCH(orders!$D344,products!$A$1:$A$49,0),MATCH(orders!K$1,products!$A$1:$G$1,0))</f>
        <v>0.5</v>
      </c>
      <c r="L344" s="5">
        <f>INDEX(products!$A$1:$G$49,MATCH(orders!$D344,products!$A$1:$A$49,0),MATCH(orders!L$1,products!$A$1:$G$1,0))</f>
        <v>7.77</v>
      </c>
      <c r="M344">
        <f>L344*E344</f>
        <v>38.849999999999994</v>
      </c>
      <c r="N344" t="str">
        <f>IF(I344="Rob","Robusta",IF(I344="Exc","Excelsa",IF(I344="Ara","Arabica",IF(I344="Lib","Liberica",""))))</f>
        <v>Liberica</v>
      </c>
      <c r="O344" t="str">
        <f t="shared" si="5"/>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9">
        <f>INDEX(products!$A$1:$G$49,MATCH(orders!$D345,products!$A$1:$A$49,0),MATCH(orders!K$1,products!$A$1:$G$1,0))</f>
        <v>0.5</v>
      </c>
      <c r="L345" s="5">
        <f>INDEX(products!$A$1:$G$49,MATCH(orders!$D345,products!$A$1:$A$49,0),MATCH(orders!L$1,products!$A$1:$G$1,0))</f>
        <v>5.3699999999999992</v>
      </c>
      <c r="M345">
        <f>L345*E345</f>
        <v>32.22</v>
      </c>
      <c r="N345" t="str">
        <f>IF(I345="Rob","Robusta",IF(I345="Exc","Excelsa",IF(I345="Ara","Arabica",IF(I345="Lib","Liberica",""))))</f>
        <v>Robusta</v>
      </c>
      <c r="O345" t="str">
        <f t="shared" si="5"/>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f>_xlfn.XLOOKUP(C346,customers!$A$1:$A$1001,customers!$C$1:$C$1001,,0)</f>
        <v>0</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9">
        <f>INDEX(products!$A$1:$G$49,MATCH(orders!$D346,products!$A$1:$A$49,0),MATCH(orders!K$1,products!$A$1:$G$1,0))</f>
        <v>1</v>
      </c>
      <c r="L346" s="5">
        <f>INDEX(products!$A$1:$G$49,MATCH(orders!$D346,products!$A$1:$A$49,0),MATCH(orders!L$1,products!$A$1:$G$1,0))</f>
        <v>9.9499999999999993</v>
      </c>
      <c r="M346">
        <f>L346*E346</f>
        <v>19.899999999999999</v>
      </c>
      <c r="N346" t="str">
        <f>IF(I346="Rob","Robusta",IF(I346="Exc","Excelsa",IF(I346="Ara","Arabica",IF(I346="Lib","Liberica",""))))</f>
        <v>Robusta</v>
      </c>
      <c r="O346" t="str">
        <f t="shared" si="5"/>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9">
        <f>INDEX(products!$A$1:$G$49,MATCH(orders!$D347,products!$A$1:$A$49,0),MATCH(orders!K$1,products!$A$1:$G$1,0))</f>
        <v>1</v>
      </c>
      <c r="L347" s="5">
        <f>INDEX(products!$A$1:$G$49,MATCH(orders!$D347,products!$A$1:$A$49,0),MATCH(orders!L$1,products!$A$1:$G$1,0))</f>
        <v>11.95</v>
      </c>
      <c r="M347">
        <f>L347*E347</f>
        <v>59.75</v>
      </c>
      <c r="N347" t="str">
        <f>IF(I347="Rob","Robusta",IF(I347="Exc","Excelsa",IF(I347="Ara","Arabica",IF(I347="Lib","Liberica",""))))</f>
        <v>Robusta</v>
      </c>
      <c r="O347" t="str">
        <f t="shared" si="5"/>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9">
        <f>INDEX(products!$A$1:$G$49,MATCH(orders!$D348,products!$A$1:$A$49,0),MATCH(orders!K$1,products!$A$1:$G$1,0))</f>
        <v>0.5</v>
      </c>
      <c r="L348" s="5">
        <f>INDEX(products!$A$1:$G$49,MATCH(orders!$D348,products!$A$1:$A$49,0),MATCH(orders!L$1,products!$A$1:$G$1,0))</f>
        <v>7.77</v>
      </c>
      <c r="M348">
        <f>L348*E348</f>
        <v>23.31</v>
      </c>
      <c r="N348" t="str">
        <f>IF(I348="Rob","Robusta",IF(I348="Exc","Excelsa",IF(I348="Ara","Arabica",IF(I348="Lib","Liberica",""))))</f>
        <v>Arabica</v>
      </c>
      <c r="O348" t="str">
        <f t="shared" si="5"/>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9">
        <f>INDEX(products!$A$1:$G$49,MATCH(orders!$D349,products!$A$1:$A$49,0),MATCH(orders!K$1,products!$A$1:$G$1,0))</f>
        <v>1</v>
      </c>
      <c r="L349" s="5">
        <f>INDEX(products!$A$1:$G$49,MATCH(orders!$D349,products!$A$1:$A$49,0),MATCH(orders!L$1,products!$A$1:$G$1,0))</f>
        <v>14.55</v>
      </c>
      <c r="M349">
        <f>L349*E349</f>
        <v>43.650000000000006</v>
      </c>
      <c r="N349" t="str">
        <f>IF(I349="Rob","Robusta",IF(I349="Exc","Excelsa",IF(I349="Ara","Arabica",IF(I349="Lib","Liberica",""))))</f>
        <v>Liberica</v>
      </c>
      <c r="O349" t="str">
        <f t="shared" si="5"/>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9">
        <f>INDEX(products!$A$1:$G$49,MATCH(orders!$D350,products!$A$1:$A$49,0),MATCH(orders!K$1,products!$A$1:$G$1,0))</f>
        <v>2.5</v>
      </c>
      <c r="L350" s="5">
        <f>INDEX(products!$A$1:$G$49,MATCH(orders!$D350,products!$A$1:$A$49,0),MATCH(orders!L$1,products!$A$1:$G$1,0))</f>
        <v>34.154999999999994</v>
      </c>
      <c r="M350">
        <f>L350*E350</f>
        <v>204.92999999999995</v>
      </c>
      <c r="N350" t="str">
        <f>IF(I350="Rob","Robusta",IF(I350="Exc","Excelsa",IF(I350="Ara","Arabica",IF(I350="Lib","Liberica",""))))</f>
        <v>Excelsa</v>
      </c>
      <c r="O350" t="str">
        <f t="shared" si="5"/>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9">
        <f>INDEX(products!$A$1:$G$49,MATCH(orders!$D351,products!$A$1:$A$49,0),MATCH(orders!K$1,products!$A$1:$G$1,0))</f>
        <v>0.2</v>
      </c>
      <c r="L351" s="5">
        <f>INDEX(products!$A$1:$G$49,MATCH(orders!$D351,products!$A$1:$A$49,0),MATCH(orders!L$1,products!$A$1:$G$1,0))</f>
        <v>3.5849999999999995</v>
      </c>
      <c r="M351">
        <f>L351*E351</f>
        <v>14.339999999999998</v>
      </c>
      <c r="N351" t="str">
        <f>IF(I351="Rob","Robusta",IF(I351="Exc","Excelsa",IF(I351="Ara","Arabica",IF(I351="Lib","Liberica",""))))</f>
        <v>Robusta</v>
      </c>
      <c r="O351" t="str">
        <f t="shared" si="5"/>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9">
        <f>INDEX(products!$A$1:$G$49,MATCH(orders!$D352,products!$A$1:$A$49,0),MATCH(orders!K$1,products!$A$1:$G$1,0))</f>
        <v>0.5</v>
      </c>
      <c r="L352" s="5">
        <f>INDEX(products!$A$1:$G$49,MATCH(orders!$D352,products!$A$1:$A$49,0),MATCH(orders!L$1,products!$A$1:$G$1,0))</f>
        <v>5.97</v>
      </c>
      <c r="M352">
        <f>L352*E352</f>
        <v>23.88</v>
      </c>
      <c r="N352" t="str">
        <f>IF(I352="Rob","Robusta",IF(I352="Exc","Excelsa",IF(I352="Ara","Arabica",IF(I352="Lib","Liberica",""))))</f>
        <v>Arabica</v>
      </c>
      <c r="O352" t="str">
        <f t="shared" si="5"/>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9">
        <f>INDEX(products!$A$1:$G$49,MATCH(orders!$D353,products!$A$1:$A$49,0),MATCH(orders!K$1,products!$A$1:$G$1,0))</f>
        <v>1</v>
      </c>
      <c r="L353" s="5">
        <f>INDEX(products!$A$1:$G$49,MATCH(orders!$D353,products!$A$1:$A$49,0),MATCH(orders!L$1,products!$A$1:$G$1,0))</f>
        <v>11.25</v>
      </c>
      <c r="M353">
        <f>L353*E353</f>
        <v>22.5</v>
      </c>
      <c r="N353" t="str">
        <f>IF(I353="Rob","Robusta",IF(I353="Exc","Excelsa",IF(I353="Ara","Arabica",IF(I353="Lib","Liberica",""))))</f>
        <v>Arabica</v>
      </c>
      <c r="O353" t="str">
        <f t="shared" si="5"/>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f>_xlfn.XLOOKUP(C354,customers!$A$1:$A$1001,customers!$C$1:$C$1001,,0)</f>
        <v>0</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9">
        <f>INDEX(products!$A$1:$G$49,MATCH(orders!$D354,products!$A$1:$A$49,0),MATCH(orders!K$1,products!$A$1:$G$1,0))</f>
        <v>0.5</v>
      </c>
      <c r="L354" s="5">
        <f>INDEX(products!$A$1:$G$49,MATCH(orders!$D354,products!$A$1:$A$49,0),MATCH(orders!L$1,products!$A$1:$G$1,0))</f>
        <v>7.29</v>
      </c>
      <c r="M354">
        <f>L354*E354</f>
        <v>36.450000000000003</v>
      </c>
      <c r="N354" t="str">
        <f>IF(I354="Rob","Robusta",IF(I354="Exc","Excelsa",IF(I354="Ara","Arabica",IF(I354="Lib","Liberica",""))))</f>
        <v>Excelsa</v>
      </c>
      <c r="O354" t="str">
        <f t="shared" si="5"/>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f>_xlfn.XLOOKUP(C355,customers!$A$1:$A$1001,customers!$C$1:$C$1001,,0)</f>
        <v>0</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9">
        <f>INDEX(products!$A$1:$G$49,MATCH(orders!$D355,products!$A$1:$A$49,0),MATCH(orders!K$1,products!$A$1:$G$1,0))</f>
        <v>0.5</v>
      </c>
      <c r="L355" s="5">
        <f>INDEX(products!$A$1:$G$49,MATCH(orders!$D355,products!$A$1:$A$49,0),MATCH(orders!L$1,products!$A$1:$G$1,0))</f>
        <v>6.75</v>
      </c>
      <c r="M355">
        <f>L355*E355</f>
        <v>27</v>
      </c>
      <c r="N355" t="str">
        <f>IF(I355="Rob","Robusta",IF(I355="Exc","Excelsa",IF(I355="Ara","Arabica",IF(I355="Lib","Liberica",""))))</f>
        <v>Arabica</v>
      </c>
      <c r="O355" t="str">
        <f t="shared" si="5"/>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9">
        <f>INDEX(products!$A$1:$G$49,MATCH(orders!$D356,products!$A$1:$A$49,0),MATCH(orders!K$1,products!$A$1:$G$1,0))</f>
        <v>2.5</v>
      </c>
      <c r="L356" s="5">
        <f>INDEX(products!$A$1:$G$49,MATCH(orders!$D356,products!$A$1:$A$49,0),MATCH(orders!L$1,products!$A$1:$G$1,0))</f>
        <v>25.874999999999996</v>
      </c>
      <c r="M356">
        <f>L356*E356</f>
        <v>155.24999999999997</v>
      </c>
      <c r="N356" t="str">
        <f>IF(I356="Rob","Robusta",IF(I356="Exc","Excelsa",IF(I356="Ara","Arabica",IF(I356="Lib","Liberica",""))))</f>
        <v>Arabica</v>
      </c>
      <c r="O356" t="str">
        <f t="shared" si="5"/>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9">
        <f>INDEX(products!$A$1:$G$49,MATCH(orders!$D357,products!$A$1:$A$49,0),MATCH(orders!K$1,products!$A$1:$G$1,0))</f>
        <v>2.5</v>
      </c>
      <c r="L357" s="5">
        <f>INDEX(products!$A$1:$G$49,MATCH(orders!$D357,products!$A$1:$A$49,0),MATCH(orders!L$1,products!$A$1:$G$1,0))</f>
        <v>22.884999999999998</v>
      </c>
      <c r="M357">
        <f>L357*E357</f>
        <v>114.42499999999998</v>
      </c>
      <c r="N357" t="str">
        <f>IF(I357="Rob","Robusta",IF(I357="Exc","Excelsa",IF(I357="Ara","Arabica",IF(I357="Lib","Liberica",""))))</f>
        <v>Arabica</v>
      </c>
      <c r="O357" t="str">
        <f t="shared" si="5"/>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9">
        <f>INDEX(products!$A$1:$G$49,MATCH(orders!$D358,products!$A$1:$A$49,0),MATCH(orders!K$1,products!$A$1:$G$1,0))</f>
        <v>1</v>
      </c>
      <c r="L358" s="5">
        <f>INDEX(products!$A$1:$G$49,MATCH(orders!$D358,products!$A$1:$A$49,0),MATCH(orders!L$1,products!$A$1:$G$1,0))</f>
        <v>12.95</v>
      </c>
      <c r="M358">
        <f>L358*E358</f>
        <v>51.8</v>
      </c>
      <c r="N358" t="str">
        <f>IF(I358="Rob","Robusta",IF(I358="Exc","Excelsa",IF(I358="Ara","Arabica",IF(I358="Lib","Liberica",""))))</f>
        <v>Liberica</v>
      </c>
      <c r="O358" t="str">
        <f t="shared" si="5"/>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f>_xlfn.XLOOKUP(C359,customers!$A$1:$A$1001,customers!$C$1:$C$1001,,0)</f>
        <v>0</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9">
        <f>INDEX(products!$A$1:$G$49,MATCH(orders!$D359,products!$A$1:$A$49,0),MATCH(orders!K$1,products!$A$1:$G$1,0))</f>
        <v>2.5</v>
      </c>
      <c r="L359" s="5">
        <f>INDEX(products!$A$1:$G$49,MATCH(orders!$D359,products!$A$1:$A$49,0),MATCH(orders!L$1,products!$A$1:$G$1,0))</f>
        <v>25.874999999999996</v>
      </c>
      <c r="M359">
        <f>L359*E359</f>
        <v>155.24999999999997</v>
      </c>
      <c r="N359" t="str">
        <f>IF(I359="Rob","Robusta",IF(I359="Exc","Excelsa",IF(I359="Ara","Arabica",IF(I359="Lib","Liberica",""))))</f>
        <v>Arabica</v>
      </c>
      <c r="O359" t="str">
        <f t="shared" si="5"/>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9">
        <f>INDEX(products!$A$1:$G$49,MATCH(orders!$D360,products!$A$1:$A$49,0),MATCH(orders!K$1,products!$A$1:$G$1,0))</f>
        <v>2.5</v>
      </c>
      <c r="L360" s="5">
        <f>INDEX(products!$A$1:$G$49,MATCH(orders!$D360,products!$A$1:$A$49,0),MATCH(orders!L$1,products!$A$1:$G$1,0))</f>
        <v>29.784999999999997</v>
      </c>
      <c r="M360">
        <f>L360*E360</f>
        <v>29.784999999999997</v>
      </c>
      <c r="N360" t="str">
        <f>IF(I360="Rob","Robusta",IF(I360="Exc","Excelsa",IF(I360="Ara","Arabica",IF(I360="Lib","Liberica",""))))</f>
        <v>Arabica</v>
      </c>
      <c r="O360" t="str">
        <f t="shared" si="5"/>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9">
        <f>INDEX(products!$A$1:$G$49,MATCH(orders!$D361,products!$A$1:$A$49,0),MATCH(orders!K$1,products!$A$1:$G$1,0))</f>
        <v>0.2</v>
      </c>
      <c r="L361" s="5">
        <f>INDEX(products!$A$1:$G$49,MATCH(orders!$D361,products!$A$1:$A$49,0),MATCH(orders!L$1,products!$A$1:$G$1,0))</f>
        <v>3.5849999999999995</v>
      </c>
      <c r="M361">
        <f>L361*E361</f>
        <v>21.509999999999998</v>
      </c>
      <c r="N361" t="str">
        <f>IF(I361="Rob","Robusta",IF(I361="Exc","Excelsa",IF(I361="Ara","Arabica",IF(I361="Lib","Liberica",""))))</f>
        <v>Robusta</v>
      </c>
      <c r="O361" t="str">
        <f t="shared" si="5"/>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9">
        <f>INDEX(products!$A$1:$G$49,MATCH(orders!$D362,products!$A$1:$A$49,0),MATCH(orders!K$1,products!$A$1:$G$1,0))</f>
        <v>2.5</v>
      </c>
      <c r="L362" s="5">
        <f>INDEX(products!$A$1:$G$49,MATCH(orders!$D362,products!$A$1:$A$49,0),MATCH(orders!L$1,products!$A$1:$G$1,0))</f>
        <v>20.584999999999997</v>
      </c>
      <c r="M362">
        <f>L362*E362</f>
        <v>41.169999999999995</v>
      </c>
      <c r="N362" t="str">
        <f>IF(I362="Rob","Robusta",IF(I362="Exc","Excelsa",IF(I362="Ara","Arabica",IF(I362="Lib","Liberica",""))))</f>
        <v>Robusta</v>
      </c>
      <c r="O362" t="str">
        <f t="shared" si="5"/>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9">
        <f>INDEX(products!$A$1:$G$49,MATCH(orders!$D363,products!$A$1:$A$49,0),MATCH(orders!K$1,products!$A$1:$G$1,0))</f>
        <v>0.5</v>
      </c>
      <c r="L363" s="5">
        <f>INDEX(products!$A$1:$G$49,MATCH(orders!$D363,products!$A$1:$A$49,0),MATCH(orders!L$1,products!$A$1:$G$1,0))</f>
        <v>5.97</v>
      </c>
      <c r="M363">
        <f>L363*E363</f>
        <v>5.97</v>
      </c>
      <c r="N363" t="str">
        <f>IF(I363="Rob","Robusta",IF(I363="Exc","Excelsa",IF(I363="Ara","Arabica",IF(I363="Lib","Liberica",""))))</f>
        <v>Robusta</v>
      </c>
      <c r="O363" t="str">
        <f t="shared" si="5"/>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9">
        <f>INDEX(products!$A$1:$G$49,MATCH(orders!$D364,products!$A$1:$A$49,0),MATCH(orders!K$1,products!$A$1:$G$1,0))</f>
        <v>1</v>
      </c>
      <c r="L364" s="5">
        <f>INDEX(products!$A$1:$G$49,MATCH(orders!$D364,products!$A$1:$A$49,0),MATCH(orders!L$1,products!$A$1:$G$1,0))</f>
        <v>14.85</v>
      </c>
      <c r="M364">
        <f>L364*E364</f>
        <v>74.25</v>
      </c>
      <c r="N364" t="str">
        <f>IF(I364="Rob","Robusta",IF(I364="Exc","Excelsa",IF(I364="Ara","Arabica",IF(I364="Lib","Liberica",""))))</f>
        <v>Excelsa</v>
      </c>
      <c r="O364" t="str">
        <f t="shared" si="5"/>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9">
        <f>INDEX(products!$A$1:$G$49,MATCH(orders!$D365,products!$A$1:$A$49,0),MATCH(orders!K$1,products!$A$1:$G$1,0))</f>
        <v>1</v>
      </c>
      <c r="L365" s="5">
        <f>INDEX(products!$A$1:$G$49,MATCH(orders!$D365,products!$A$1:$A$49,0),MATCH(orders!L$1,products!$A$1:$G$1,0))</f>
        <v>14.55</v>
      </c>
      <c r="M365">
        <f>L365*E365</f>
        <v>87.300000000000011</v>
      </c>
      <c r="N365" t="str">
        <f>IF(I365="Rob","Robusta",IF(I365="Exc","Excelsa",IF(I365="Ara","Arabica",IF(I365="Lib","Liberica",""))))</f>
        <v>Liberica</v>
      </c>
      <c r="O365" t="str">
        <f t="shared" si="5"/>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9">
        <f>INDEX(products!$A$1:$G$49,MATCH(orders!$D366,products!$A$1:$A$49,0),MATCH(orders!K$1,products!$A$1:$G$1,0))</f>
        <v>1</v>
      </c>
      <c r="L366" s="5">
        <f>INDEX(products!$A$1:$G$49,MATCH(orders!$D366,products!$A$1:$A$49,0),MATCH(orders!L$1,products!$A$1:$G$1,0))</f>
        <v>12.15</v>
      </c>
      <c r="M366">
        <f>L366*E366</f>
        <v>72.900000000000006</v>
      </c>
      <c r="N366" t="str">
        <f>IF(I366="Rob","Robusta",IF(I366="Exc","Excelsa",IF(I366="Ara","Arabica",IF(I366="Lib","Liberica",""))))</f>
        <v>Excelsa</v>
      </c>
      <c r="O366" t="str">
        <f t="shared" si="5"/>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9">
        <f>INDEX(products!$A$1:$G$49,MATCH(orders!$D367,products!$A$1:$A$49,0),MATCH(orders!K$1,products!$A$1:$G$1,0))</f>
        <v>0.5</v>
      </c>
      <c r="L367" s="5">
        <f>INDEX(products!$A$1:$G$49,MATCH(orders!$D367,products!$A$1:$A$49,0),MATCH(orders!L$1,products!$A$1:$G$1,0))</f>
        <v>7.77</v>
      </c>
      <c r="M367">
        <f>L367*E367</f>
        <v>7.77</v>
      </c>
      <c r="N367" t="str">
        <f>IF(I367="Rob","Robusta",IF(I367="Exc","Excelsa",IF(I367="Ara","Arabica",IF(I367="Lib","Liberica",""))))</f>
        <v>Liberica</v>
      </c>
      <c r="O367" t="str">
        <f t="shared" si="5"/>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f>_xlfn.XLOOKUP(C368,customers!$A$1:$A$1001,customers!$C$1:$C$1001,,0)</f>
        <v>0</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9">
        <f>INDEX(products!$A$1:$G$49,MATCH(orders!$D368,products!$A$1:$A$49,0),MATCH(orders!K$1,products!$A$1:$G$1,0))</f>
        <v>0.5</v>
      </c>
      <c r="L368" s="5">
        <f>INDEX(products!$A$1:$G$49,MATCH(orders!$D368,products!$A$1:$A$49,0),MATCH(orders!L$1,products!$A$1:$G$1,0))</f>
        <v>7.29</v>
      </c>
      <c r="M368">
        <f>L368*E368</f>
        <v>43.74</v>
      </c>
      <c r="N368" t="str">
        <f>IF(I368="Rob","Robusta",IF(I368="Exc","Excelsa",IF(I368="Ara","Arabica",IF(I368="Lib","Liberica",""))))</f>
        <v>Excelsa</v>
      </c>
      <c r="O368" t="str">
        <f t="shared" si="5"/>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f>_xlfn.XLOOKUP(C369,customers!$A$1:$A$1001,customers!$C$1:$C$1001,,0)</f>
        <v>0</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9">
        <f>INDEX(products!$A$1:$G$49,MATCH(orders!$D369,products!$A$1:$A$49,0),MATCH(orders!K$1,products!$A$1:$G$1,0))</f>
        <v>0.2</v>
      </c>
      <c r="L369" s="5">
        <f>INDEX(products!$A$1:$G$49,MATCH(orders!$D369,products!$A$1:$A$49,0),MATCH(orders!L$1,products!$A$1:$G$1,0))</f>
        <v>4.3650000000000002</v>
      </c>
      <c r="M369">
        <f>L369*E369</f>
        <v>8.73</v>
      </c>
      <c r="N369" t="str">
        <f>IF(I369="Rob","Robusta",IF(I369="Exc","Excelsa",IF(I369="Ara","Arabica",IF(I369="Lib","Liberica",""))))</f>
        <v>Liberica</v>
      </c>
      <c r="O369" t="str">
        <f t="shared" si="5"/>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9">
        <f>INDEX(products!$A$1:$G$49,MATCH(orders!$D370,products!$A$1:$A$49,0),MATCH(orders!K$1,products!$A$1:$G$1,0))</f>
        <v>2.5</v>
      </c>
      <c r="L370" s="5">
        <f>INDEX(products!$A$1:$G$49,MATCH(orders!$D370,products!$A$1:$A$49,0),MATCH(orders!L$1,products!$A$1:$G$1,0))</f>
        <v>31.624999999999996</v>
      </c>
      <c r="M370">
        <f>L370*E370</f>
        <v>63.249999999999993</v>
      </c>
      <c r="N370" t="str">
        <f>IF(I370="Rob","Robusta",IF(I370="Exc","Excelsa",IF(I370="Ara","Arabica",IF(I370="Lib","Liberica",""))))</f>
        <v>Excelsa</v>
      </c>
      <c r="O370" t="str">
        <f t="shared" si="5"/>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f>_xlfn.XLOOKUP(C371,customers!$A$1:$A$1001,customers!$C$1:$C$1001,,0)</f>
        <v>0</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9">
        <f>INDEX(products!$A$1:$G$49,MATCH(orders!$D371,products!$A$1:$A$49,0),MATCH(orders!K$1,products!$A$1:$G$1,0))</f>
        <v>0.5</v>
      </c>
      <c r="L371" s="5">
        <f>INDEX(products!$A$1:$G$49,MATCH(orders!$D371,products!$A$1:$A$49,0),MATCH(orders!L$1,products!$A$1:$G$1,0))</f>
        <v>8.91</v>
      </c>
      <c r="M371">
        <f>L371*E371</f>
        <v>8.91</v>
      </c>
      <c r="N371" t="str">
        <f>IF(I371="Rob","Robusta",IF(I371="Exc","Excelsa",IF(I371="Ara","Arabica",IF(I371="Lib","Liberica",""))))</f>
        <v>Excelsa</v>
      </c>
      <c r="O371" t="str">
        <f t="shared" si="5"/>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9">
        <f>INDEX(products!$A$1:$G$49,MATCH(orders!$D372,products!$A$1:$A$49,0),MATCH(orders!K$1,products!$A$1:$G$1,0))</f>
        <v>1</v>
      </c>
      <c r="L372" s="5">
        <f>INDEX(products!$A$1:$G$49,MATCH(orders!$D372,products!$A$1:$A$49,0),MATCH(orders!L$1,products!$A$1:$G$1,0))</f>
        <v>12.15</v>
      </c>
      <c r="M372">
        <f>L372*E372</f>
        <v>24.3</v>
      </c>
      <c r="N372" t="str">
        <f>IF(I372="Rob","Robusta",IF(I372="Exc","Excelsa",IF(I372="Ara","Arabica",IF(I372="Lib","Liberica",""))))</f>
        <v>Excelsa</v>
      </c>
      <c r="O372" t="str">
        <f t="shared" si="5"/>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9">
        <f>INDEX(products!$A$1:$G$49,MATCH(orders!$D373,products!$A$1:$A$49,0),MATCH(orders!K$1,products!$A$1:$G$1,0))</f>
        <v>0.5</v>
      </c>
      <c r="L373" s="5">
        <f>INDEX(products!$A$1:$G$49,MATCH(orders!$D373,products!$A$1:$A$49,0),MATCH(orders!L$1,products!$A$1:$G$1,0))</f>
        <v>7.77</v>
      </c>
      <c r="M373">
        <f>L373*E373</f>
        <v>46.62</v>
      </c>
      <c r="N373" t="str">
        <f>IF(I373="Rob","Robusta",IF(I373="Exc","Excelsa",IF(I373="Ara","Arabica",IF(I373="Lib","Liberica",""))))</f>
        <v>Arabica</v>
      </c>
      <c r="O373" t="str">
        <f t="shared" si="5"/>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9">
        <f>INDEX(products!$A$1:$G$49,MATCH(orders!$D374,products!$A$1:$A$49,0),MATCH(orders!K$1,products!$A$1:$G$1,0))</f>
        <v>0.5</v>
      </c>
      <c r="L374" s="5">
        <f>INDEX(products!$A$1:$G$49,MATCH(orders!$D374,products!$A$1:$A$49,0),MATCH(orders!L$1,products!$A$1:$G$1,0))</f>
        <v>7.169999999999999</v>
      </c>
      <c r="M374">
        <f>L374*E374</f>
        <v>43.019999999999996</v>
      </c>
      <c r="N374" t="str">
        <f>IF(I374="Rob","Robusta",IF(I374="Exc","Excelsa",IF(I374="Ara","Arabica",IF(I374="Lib","Liberica",""))))</f>
        <v>Robusta</v>
      </c>
      <c r="O374" t="str">
        <f t="shared" si="5"/>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f>_xlfn.XLOOKUP(C375,customers!$A$1:$A$1001,customers!$C$1:$C$1001,,0)</f>
        <v>0</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9">
        <f>INDEX(products!$A$1:$G$49,MATCH(orders!$D375,products!$A$1:$A$49,0),MATCH(orders!K$1,products!$A$1:$G$1,0))</f>
        <v>0.5</v>
      </c>
      <c r="L375" s="5">
        <f>INDEX(products!$A$1:$G$49,MATCH(orders!$D375,products!$A$1:$A$49,0),MATCH(orders!L$1,products!$A$1:$G$1,0))</f>
        <v>5.97</v>
      </c>
      <c r="M375">
        <f>L375*E375</f>
        <v>17.91</v>
      </c>
      <c r="N375" t="str">
        <f>IF(I375="Rob","Robusta",IF(I375="Exc","Excelsa",IF(I375="Ara","Arabica",IF(I375="Lib","Liberica",""))))</f>
        <v>Arabica</v>
      </c>
      <c r="O375" t="str">
        <f t="shared" si="5"/>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9">
        <f>INDEX(products!$A$1:$G$49,MATCH(orders!$D376,products!$A$1:$A$49,0),MATCH(orders!K$1,products!$A$1:$G$1,0))</f>
        <v>0.5</v>
      </c>
      <c r="L376" s="5">
        <f>INDEX(products!$A$1:$G$49,MATCH(orders!$D376,products!$A$1:$A$49,0),MATCH(orders!L$1,products!$A$1:$G$1,0))</f>
        <v>9.51</v>
      </c>
      <c r="M376">
        <f>L376*E376</f>
        <v>38.04</v>
      </c>
      <c r="N376" t="str">
        <f>IF(I376="Rob","Robusta",IF(I376="Exc","Excelsa",IF(I376="Ara","Arabica",IF(I376="Lib","Liberica",""))))</f>
        <v>Liberica</v>
      </c>
      <c r="O376" t="str">
        <f t="shared" si="5"/>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9">
        <f>INDEX(products!$A$1:$G$49,MATCH(orders!$D377,products!$A$1:$A$49,0),MATCH(orders!K$1,products!$A$1:$G$1,0))</f>
        <v>0.2</v>
      </c>
      <c r="L377" s="5">
        <f>INDEX(products!$A$1:$G$49,MATCH(orders!$D377,products!$A$1:$A$49,0),MATCH(orders!L$1,products!$A$1:$G$1,0))</f>
        <v>3.375</v>
      </c>
      <c r="M377">
        <f>L377*E377</f>
        <v>6.75</v>
      </c>
      <c r="N377" t="str">
        <f>IF(I377="Rob","Robusta",IF(I377="Exc","Excelsa",IF(I377="Ara","Arabica",IF(I377="Lib","Liberica",""))))</f>
        <v>Arabica</v>
      </c>
      <c r="O377" t="str">
        <f t="shared" si="5"/>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9">
        <f>INDEX(products!$A$1:$G$49,MATCH(orders!$D378,products!$A$1:$A$49,0),MATCH(orders!K$1,products!$A$1:$G$1,0))</f>
        <v>0.5</v>
      </c>
      <c r="L378" s="5">
        <f>INDEX(products!$A$1:$G$49,MATCH(orders!$D378,products!$A$1:$A$49,0),MATCH(orders!L$1,products!$A$1:$G$1,0))</f>
        <v>5.97</v>
      </c>
      <c r="M378">
        <f>L378*E378</f>
        <v>5.97</v>
      </c>
      <c r="N378" t="str">
        <f>IF(I378="Rob","Robusta",IF(I378="Exc","Excelsa",IF(I378="Ara","Arabica",IF(I378="Lib","Liberica",""))))</f>
        <v>Robusta</v>
      </c>
      <c r="O378" t="str">
        <f t="shared" si="5"/>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9">
        <f>INDEX(products!$A$1:$G$49,MATCH(orders!$D379,products!$A$1:$A$49,0),MATCH(orders!K$1,products!$A$1:$G$1,0))</f>
        <v>0.2</v>
      </c>
      <c r="L379" s="5">
        <f>INDEX(products!$A$1:$G$49,MATCH(orders!$D379,products!$A$1:$A$49,0),MATCH(orders!L$1,products!$A$1:$G$1,0))</f>
        <v>2.6849999999999996</v>
      </c>
      <c r="M379">
        <f>L379*E379</f>
        <v>8.0549999999999997</v>
      </c>
      <c r="N379" t="str">
        <f>IF(I379="Rob","Robusta",IF(I379="Exc","Excelsa",IF(I379="Ara","Arabica",IF(I379="Lib","Liberica",""))))</f>
        <v>Robusta</v>
      </c>
      <c r="O379" t="str">
        <f t="shared" si="5"/>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9">
        <f>INDEX(products!$A$1:$G$49,MATCH(orders!$D380,products!$A$1:$A$49,0),MATCH(orders!K$1,products!$A$1:$G$1,0))</f>
        <v>0.5</v>
      </c>
      <c r="L380" s="5">
        <f>INDEX(products!$A$1:$G$49,MATCH(orders!$D380,products!$A$1:$A$49,0),MATCH(orders!L$1,products!$A$1:$G$1,0))</f>
        <v>7.77</v>
      </c>
      <c r="M380">
        <f>L380*E380</f>
        <v>23.31</v>
      </c>
      <c r="N380" t="str">
        <f>IF(I380="Rob","Robusta",IF(I380="Exc","Excelsa",IF(I380="Ara","Arabica",IF(I380="Lib","Liberica",""))))</f>
        <v>Arabica</v>
      </c>
      <c r="O380" t="str">
        <f t="shared" si="5"/>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9">
        <f>INDEX(products!$A$1:$G$49,MATCH(orders!$D381,products!$A$1:$A$49,0),MATCH(orders!K$1,products!$A$1:$G$1,0))</f>
        <v>0.5</v>
      </c>
      <c r="L381" s="5">
        <f>INDEX(products!$A$1:$G$49,MATCH(orders!$D381,products!$A$1:$A$49,0),MATCH(orders!L$1,products!$A$1:$G$1,0))</f>
        <v>7.169999999999999</v>
      </c>
      <c r="M381">
        <f>L381*E381</f>
        <v>43.019999999999996</v>
      </c>
      <c r="N381" t="str">
        <f>IF(I381="Rob","Robusta",IF(I381="Exc","Excelsa",IF(I381="Ara","Arabica",IF(I381="Lib","Liberica",""))))</f>
        <v>Robusta</v>
      </c>
      <c r="O381" t="str">
        <f t="shared" si="5"/>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f>_xlfn.XLOOKUP(C382,customers!$A$1:$A$1001,customers!$C$1:$C$1001,,0)</f>
        <v>0</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9">
        <f>INDEX(products!$A$1:$G$49,MATCH(orders!$D382,products!$A$1:$A$49,0),MATCH(orders!K$1,products!$A$1:$G$1,0))</f>
        <v>0.5</v>
      </c>
      <c r="L382" s="5">
        <f>INDEX(products!$A$1:$G$49,MATCH(orders!$D382,products!$A$1:$A$49,0),MATCH(orders!L$1,products!$A$1:$G$1,0))</f>
        <v>7.77</v>
      </c>
      <c r="M382">
        <f>L382*E382</f>
        <v>23.31</v>
      </c>
      <c r="N382" t="str">
        <f>IF(I382="Rob","Robusta",IF(I382="Exc","Excelsa",IF(I382="Ara","Arabica",IF(I382="Lib","Liberica",""))))</f>
        <v>Liberica</v>
      </c>
      <c r="O382" t="str">
        <f t="shared" si="5"/>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9">
        <f>INDEX(products!$A$1:$G$49,MATCH(orders!$D383,products!$A$1:$A$49,0),MATCH(orders!K$1,products!$A$1:$G$1,0))</f>
        <v>0.2</v>
      </c>
      <c r="L383" s="5">
        <f>INDEX(products!$A$1:$G$49,MATCH(orders!$D383,products!$A$1:$A$49,0),MATCH(orders!L$1,products!$A$1:$G$1,0))</f>
        <v>2.9849999999999999</v>
      </c>
      <c r="M383">
        <f>L383*E383</f>
        <v>14.924999999999999</v>
      </c>
      <c r="N383" t="str">
        <f>IF(I383="Rob","Robusta",IF(I383="Exc","Excelsa",IF(I383="Ara","Arabica",IF(I383="Lib","Liberica",""))))</f>
        <v>Arabica</v>
      </c>
      <c r="O383" t="str">
        <f t="shared" si="5"/>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9">
        <f>INDEX(products!$A$1:$G$49,MATCH(orders!$D384,products!$A$1:$A$49,0),MATCH(orders!K$1,products!$A$1:$G$1,0))</f>
        <v>0.5</v>
      </c>
      <c r="L384" s="5">
        <f>INDEX(products!$A$1:$G$49,MATCH(orders!$D384,products!$A$1:$A$49,0),MATCH(orders!L$1,products!$A$1:$G$1,0))</f>
        <v>7.29</v>
      </c>
      <c r="M384">
        <f>L384*E384</f>
        <v>21.87</v>
      </c>
      <c r="N384" t="str">
        <f>IF(I384="Rob","Robusta",IF(I384="Exc","Excelsa",IF(I384="Ara","Arabica",IF(I384="Lib","Liberica",""))))</f>
        <v>Excelsa</v>
      </c>
      <c r="O384" t="str">
        <f t="shared" si="5"/>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f>_xlfn.XLOOKUP(C385,customers!$A$1:$A$1001,customers!$C$1:$C$1001,,0)</f>
        <v>0</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9">
        <f>INDEX(products!$A$1:$G$49,MATCH(orders!$D385,products!$A$1:$A$49,0),MATCH(orders!K$1,products!$A$1:$G$1,0))</f>
        <v>0.5</v>
      </c>
      <c r="L385" s="5">
        <f>INDEX(products!$A$1:$G$49,MATCH(orders!$D385,products!$A$1:$A$49,0),MATCH(orders!L$1,products!$A$1:$G$1,0))</f>
        <v>8.91</v>
      </c>
      <c r="M385">
        <f>L385*E385</f>
        <v>53.46</v>
      </c>
      <c r="N385" t="str">
        <f>IF(I385="Rob","Robusta",IF(I385="Exc","Excelsa",IF(I385="Ara","Arabica",IF(I385="Lib","Liberica",""))))</f>
        <v>Excelsa</v>
      </c>
      <c r="O385" t="str">
        <f t="shared" si="5"/>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f>_xlfn.XLOOKUP(C386,customers!$A$1:$A$1001,customers!$C$1:$C$1001,,0)</f>
        <v>0</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9">
        <f>INDEX(products!$A$1:$G$49,MATCH(orders!$D386,products!$A$1:$A$49,0),MATCH(orders!K$1,products!$A$1:$G$1,0))</f>
        <v>2.5</v>
      </c>
      <c r="L386" s="5">
        <f>INDEX(products!$A$1:$G$49,MATCH(orders!$D386,products!$A$1:$A$49,0),MATCH(orders!L$1,products!$A$1:$G$1,0))</f>
        <v>29.784999999999997</v>
      </c>
      <c r="M386">
        <f>L386*E386</f>
        <v>119.13999999999999</v>
      </c>
      <c r="N386" t="str">
        <f>IF(I386="Rob","Robusta",IF(I386="Exc","Excelsa",IF(I386="Ara","Arabica",IF(I386="Lib","Liberica",""))))</f>
        <v>Arabica</v>
      </c>
      <c r="O386" t="str">
        <f t="shared" si="5"/>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9">
        <f>INDEX(products!$A$1:$G$49,MATCH(orders!$D387,products!$A$1:$A$49,0),MATCH(orders!K$1,products!$A$1:$G$1,0))</f>
        <v>0.5</v>
      </c>
      <c r="L387" s="5">
        <f>INDEX(products!$A$1:$G$49,MATCH(orders!$D387,products!$A$1:$A$49,0),MATCH(orders!L$1,products!$A$1:$G$1,0))</f>
        <v>8.73</v>
      </c>
      <c r="M387">
        <f>L387*E387</f>
        <v>43.650000000000006</v>
      </c>
      <c r="N387" t="str">
        <f>IF(I387="Rob","Robusta",IF(I387="Exc","Excelsa",IF(I387="Ara","Arabica",IF(I387="Lib","Liberica",""))))</f>
        <v>Liberica</v>
      </c>
      <c r="O387" t="str">
        <f t="shared" ref="O387:O450" si="6">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f>_xlfn.XLOOKUP(C388,customers!$A$1:$A$1001,customers!$C$1:$C$1001,,0)</f>
        <v>0</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9">
        <f>INDEX(products!$A$1:$G$49,MATCH(orders!$D388,products!$A$1:$A$49,0),MATCH(orders!K$1,products!$A$1:$G$1,0))</f>
        <v>0.2</v>
      </c>
      <c r="L388" s="5">
        <f>INDEX(products!$A$1:$G$49,MATCH(orders!$D388,products!$A$1:$A$49,0),MATCH(orders!L$1,products!$A$1:$G$1,0))</f>
        <v>2.9849999999999999</v>
      </c>
      <c r="M388">
        <f>L388*E388</f>
        <v>17.91</v>
      </c>
      <c r="N388" t="str">
        <f>IF(I388="Rob","Robusta",IF(I388="Exc","Excelsa",IF(I388="Ara","Arabica",IF(I388="Lib","Liberica",""))))</f>
        <v>Arabica</v>
      </c>
      <c r="O388" t="str">
        <f t="shared" si="6"/>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9">
        <f>INDEX(products!$A$1:$G$49,MATCH(orders!$D389,products!$A$1:$A$49,0),MATCH(orders!K$1,products!$A$1:$G$1,0))</f>
        <v>1</v>
      </c>
      <c r="L389" s="5">
        <f>INDEX(products!$A$1:$G$49,MATCH(orders!$D389,products!$A$1:$A$49,0),MATCH(orders!L$1,products!$A$1:$G$1,0))</f>
        <v>14.85</v>
      </c>
      <c r="M389">
        <f>L389*E389</f>
        <v>74.25</v>
      </c>
      <c r="N389" t="str">
        <f>IF(I389="Rob","Robusta",IF(I389="Exc","Excelsa",IF(I389="Ara","Arabica",IF(I389="Lib","Liberica",""))))</f>
        <v>Excelsa</v>
      </c>
      <c r="O389" t="str">
        <f t="shared" si="6"/>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9">
        <f>INDEX(products!$A$1:$G$49,MATCH(orders!$D390,products!$A$1:$A$49,0),MATCH(orders!K$1,products!$A$1:$G$1,0))</f>
        <v>0.2</v>
      </c>
      <c r="L390" s="5">
        <f>INDEX(products!$A$1:$G$49,MATCH(orders!$D390,products!$A$1:$A$49,0),MATCH(orders!L$1,products!$A$1:$G$1,0))</f>
        <v>3.8849999999999998</v>
      </c>
      <c r="M390">
        <f>L390*E390</f>
        <v>11.654999999999999</v>
      </c>
      <c r="N390" t="str">
        <f>IF(I390="Rob","Robusta",IF(I390="Exc","Excelsa",IF(I390="Ara","Arabica",IF(I390="Lib","Liberica",""))))</f>
        <v>Liberica</v>
      </c>
      <c r="O390" t="str">
        <f t="shared" si="6"/>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9">
        <f>INDEX(products!$A$1:$G$49,MATCH(orders!$D391,products!$A$1:$A$49,0),MATCH(orders!K$1,products!$A$1:$G$1,0))</f>
        <v>0.5</v>
      </c>
      <c r="L391" s="5">
        <f>INDEX(products!$A$1:$G$49,MATCH(orders!$D391,products!$A$1:$A$49,0),MATCH(orders!L$1,products!$A$1:$G$1,0))</f>
        <v>7.77</v>
      </c>
      <c r="M391">
        <f>L391*E391</f>
        <v>23.31</v>
      </c>
      <c r="N391" t="str">
        <f>IF(I391="Rob","Robusta",IF(I391="Exc","Excelsa",IF(I391="Ara","Arabica",IF(I391="Lib","Liberica",""))))</f>
        <v>Liberica</v>
      </c>
      <c r="O391" t="str">
        <f t="shared" si="6"/>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9">
        <f>INDEX(products!$A$1:$G$49,MATCH(orders!$D392,products!$A$1:$A$49,0),MATCH(orders!K$1,products!$A$1:$G$1,0))</f>
        <v>0.5</v>
      </c>
      <c r="L392" s="5">
        <f>INDEX(products!$A$1:$G$49,MATCH(orders!$D392,products!$A$1:$A$49,0),MATCH(orders!L$1,products!$A$1:$G$1,0))</f>
        <v>7.29</v>
      </c>
      <c r="M392">
        <f>L392*E392</f>
        <v>14.58</v>
      </c>
      <c r="N392" t="str">
        <f>IF(I392="Rob","Robusta",IF(I392="Exc","Excelsa",IF(I392="Ara","Arabica",IF(I392="Lib","Liberica",""))))</f>
        <v>Excelsa</v>
      </c>
      <c r="O392" t="str">
        <f t="shared" si="6"/>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9">
        <f>INDEX(products!$A$1:$G$49,MATCH(orders!$D393,products!$A$1:$A$49,0),MATCH(orders!K$1,products!$A$1:$G$1,0))</f>
        <v>0.5</v>
      </c>
      <c r="L393" s="5">
        <f>INDEX(products!$A$1:$G$49,MATCH(orders!$D393,products!$A$1:$A$49,0),MATCH(orders!L$1,products!$A$1:$G$1,0))</f>
        <v>6.75</v>
      </c>
      <c r="M393">
        <f>L393*E393</f>
        <v>13.5</v>
      </c>
      <c r="N393" t="str">
        <f>IF(I393="Rob","Robusta",IF(I393="Exc","Excelsa",IF(I393="Ara","Arabica",IF(I393="Lib","Liberica",""))))</f>
        <v>Arabica</v>
      </c>
      <c r="O393" t="str">
        <f t="shared" si="6"/>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9">
        <f>INDEX(products!$A$1:$G$49,MATCH(orders!$D394,products!$A$1:$A$49,0),MATCH(orders!K$1,products!$A$1:$G$1,0))</f>
        <v>1</v>
      </c>
      <c r="L394" s="5">
        <f>INDEX(products!$A$1:$G$49,MATCH(orders!$D394,products!$A$1:$A$49,0),MATCH(orders!L$1,products!$A$1:$G$1,0))</f>
        <v>14.85</v>
      </c>
      <c r="M394">
        <f>L394*E394</f>
        <v>89.1</v>
      </c>
      <c r="N394" t="str">
        <f>IF(I394="Rob","Robusta",IF(I394="Exc","Excelsa",IF(I394="Ara","Arabica",IF(I394="Lib","Liberica",""))))</f>
        <v>Excelsa</v>
      </c>
      <c r="O394" t="str">
        <f t="shared" si="6"/>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9">
        <f>INDEX(products!$A$1:$G$49,MATCH(orders!$D395,products!$A$1:$A$49,0),MATCH(orders!K$1,products!$A$1:$G$1,0))</f>
        <v>0.2</v>
      </c>
      <c r="L395" s="5">
        <f>INDEX(products!$A$1:$G$49,MATCH(orders!$D395,products!$A$1:$A$49,0),MATCH(orders!L$1,products!$A$1:$G$1,0))</f>
        <v>3.8849999999999998</v>
      </c>
      <c r="M395">
        <f>L395*E395</f>
        <v>3.8849999999999998</v>
      </c>
      <c r="N395" t="str">
        <f>IF(I395="Rob","Robusta",IF(I395="Exc","Excelsa",IF(I395="Ara","Arabica",IF(I395="Lib","Liberica",""))))</f>
        <v>Arabica</v>
      </c>
      <c r="O395" t="str">
        <f t="shared" si="6"/>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9">
        <f>INDEX(products!$A$1:$G$49,MATCH(orders!$D396,products!$A$1:$A$49,0),MATCH(orders!K$1,products!$A$1:$G$1,0))</f>
        <v>2.5</v>
      </c>
      <c r="L396" s="5">
        <f>INDEX(products!$A$1:$G$49,MATCH(orders!$D396,products!$A$1:$A$49,0),MATCH(orders!L$1,products!$A$1:$G$1,0))</f>
        <v>27.484999999999996</v>
      </c>
      <c r="M396">
        <f>L396*E396</f>
        <v>109.93999999999998</v>
      </c>
      <c r="N396" t="str">
        <f>IF(I396="Rob","Robusta",IF(I396="Exc","Excelsa",IF(I396="Ara","Arabica",IF(I396="Lib","Liberica",""))))</f>
        <v>Robusta</v>
      </c>
      <c r="O396" t="str">
        <f t="shared" si="6"/>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9">
        <f>INDEX(products!$A$1:$G$49,MATCH(orders!$D397,products!$A$1:$A$49,0),MATCH(orders!K$1,products!$A$1:$G$1,0))</f>
        <v>0.5</v>
      </c>
      <c r="L397" s="5">
        <f>INDEX(products!$A$1:$G$49,MATCH(orders!$D397,products!$A$1:$A$49,0),MATCH(orders!L$1,products!$A$1:$G$1,0))</f>
        <v>7.77</v>
      </c>
      <c r="M397">
        <f>L397*E397</f>
        <v>46.62</v>
      </c>
      <c r="N397" t="str">
        <f>IF(I397="Rob","Robusta",IF(I397="Exc","Excelsa",IF(I397="Ara","Arabica",IF(I397="Lib","Liberica",""))))</f>
        <v>Liberica</v>
      </c>
      <c r="O397" t="str">
        <f t="shared" si="6"/>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9">
        <f>INDEX(products!$A$1:$G$49,MATCH(orders!$D398,products!$A$1:$A$49,0),MATCH(orders!K$1,products!$A$1:$G$1,0))</f>
        <v>0.5</v>
      </c>
      <c r="L398" s="5">
        <f>INDEX(products!$A$1:$G$49,MATCH(orders!$D398,products!$A$1:$A$49,0),MATCH(orders!L$1,products!$A$1:$G$1,0))</f>
        <v>7.77</v>
      </c>
      <c r="M398">
        <f>L398*E398</f>
        <v>38.849999999999994</v>
      </c>
      <c r="N398" t="str">
        <f>IF(I398="Rob","Robusta",IF(I398="Exc","Excelsa",IF(I398="Ara","Arabica",IF(I398="Lib","Liberica",""))))</f>
        <v>Arabica</v>
      </c>
      <c r="O398" t="str">
        <f t="shared" si="6"/>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9">
        <f>INDEX(products!$A$1:$G$49,MATCH(orders!$D399,products!$A$1:$A$49,0),MATCH(orders!K$1,products!$A$1:$G$1,0))</f>
        <v>0.5</v>
      </c>
      <c r="L399" s="5">
        <f>INDEX(products!$A$1:$G$49,MATCH(orders!$D399,products!$A$1:$A$49,0),MATCH(orders!L$1,products!$A$1:$G$1,0))</f>
        <v>7.77</v>
      </c>
      <c r="M399">
        <f>L399*E399</f>
        <v>31.08</v>
      </c>
      <c r="N399" t="str">
        <f>IF(I399="Rob","Robusta",IF(I399="Exc","Excelsa",IF(I399="Ara","Arabica",IF(I399="Lib","Liberica",""))))</f>
        <v>Liberica</v>
      </c>
      <c r="O399" t="str">
        <f t="shared" si="6"/>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9">
        <f>INDEX(products!$A$1:$G$49,MATCH(orders!$D400,products!$A$1:$A$49,0),MATCH(orders!K$1,products!$A$1:$G$1,0))</f>
        <v>0.2</v>
      </c>
      <c r="L400" s="5">
        <f>INDEX(products!$A$1:$G$49,MATCH(orders!$D400,products!$A$1:$A$49,0),MATCH(orders!L$1,products!$A$1:$G$1,0))</f>
        <v>2.9849999999999999</v>
      </c>
      <c r="M400">
        <f>L400*E400</f>
        <v>17.91</v>
      </c>
      <c r="N400" t="str">
        <f>IF(I400="Rob","Robusta",IF(I400="Exc","Excelsa",IF(I400="Ara","Arabica",IF(I400="Lib","Liberica",""))))</f>
        <v>Arabica</v>
      </c>
      <c r="O400" t="str">
        <f t="shared" si="6"/>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9">
        <f>INDEX(products!$A$1:$G$49,MATCH(orders!$D401,products!$A$1:$A$49,0),MATCH(orders!K$1,products!$A$1:$G$1,0))</f>
        <v>2.5</v>
      </c>
      <c r="L401" s="5">
        <f>INDEX(products!$A$1:$G$49,MATCH(orders!$D401,products!$A$1:$A$49,0),MATCH(orders!L$1,products!$A$1:$G$1,0))</f>
        <v>27.945</v>
      </c>
      <c r="M401">
        <f>L401*E401</f>
        <v>167.67000000000002</v>
      </c>
      <c r="N401" t="str">
        <f>IF(I401="Rob","Robusta",IF(I401="Exc","Excelsa",IF(I401="Ara","Arabica",IF(I401="Lib","Liberica",""))))</f>
        <v>Excelsa</v>
      </c>
      <c r="O401" t="str">
        <f t="shared" si="6"/>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9">
        <f>INDEX(products!$A$1:$G$49,MATCH(orders!$D402,products!$A$1:$A$49,0),MATCH(orders!K$1,products!$A$1:$G$1,0))</f>
        <v>1</v>
      </c>
      <c r="L402" s="5">
        <f>INDEX(products!$A$1:$G$49,MATCH(orders!$D402,products!$A$1:$A$49,0),MATCH(orders!L$1,products!$A$1:$G$1,0))</f>
        <v>15.85</v>
      </c>
      <c r="M402">
        <f>L402*E402</f>
        <v>63.4</v>
      </c>
      <c r="N402" t="str">
        <f>IF(I402="Rob","Robusta",IF(I402="Exc","Excelsa",IF(I402="Ara","Arabica",IF(I402="Lib","Liberica",""))))</f>
        <v>Liberica</v>
      </c>
      <c r="O402" t="str">
        <f t="shared" si="6"/>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9">
        <f>INDEX(products!$A$1:$G$49,MATCH(orders!$D403,products!$A$1:$A$49,0),MATCH(orders!K$1,products!$A$1:$G$1,0))</f>
        <v>0.2</v>
      </c>
      <c r="L403" s="5">
        <f>INDEX(products!$A$1:$G$49,MATCH(orders!$D403,products!$A$1:$A$49,0),MATCH(orders!L$1,products!$A$1:$G$1,0))</f>
        <v>4.3650000000000002</v>
      </c>
      <c r="M403">
        <f>L403*E403</f>
        <v>8.73</v>
      </c>
      <c r="N403" t="str">
        <f>IF(I403="Rob","Robusta",IF(I403="Exc","Excelsa",IF(I403="Ara","Arabica",IF(I403="Lib","Liberica",""))))</f>
        <v>Liberica</v>
      </c>
      <c r="O403" t="str">
        <f t="shared" si="6"/>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9">
        <f>INDEX(products!$A$1:$G$49,MATCH(orders!$D404,products!$A$1:$A$49,0),MATCH(orders!K$1,products!$A$1:$G$1,0))</f>
        <v>1</v>
      </c>
      <c r="L404" s="5">
        <f>INDEX(products!$A$1:$G$49,MATCH(orders!$D404,products!$A$1:$A$49,0),MATCH(orders!L$1,products!$A$1:$G$1,0))</f>
        <v>8.9499999999999993</v>
      </c>
      <c r="M404">
        <f>L404*E404</f>
        <v>26.849999999999998</v>
      </c>
      <c r="N404" t="str">
        <f>IF(I404="Rob","Robusta",IF(I404="Exc","Excelsa",IF(I404="Ara","Arabica",IF(I404="Lib","Liberica",""))))</f>
        <v>Robusta</v>
      </c>
      <c r="O404" t="str">
        <f t="shared" si="6"/>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9">
        <f>INDEX(products!$A$1:$G$49,MATCH(orders!$D405,products!$A$1:$A$49,0),MATCH(orders!K$1,products!$A$1:$G$1,0))</f>
        <v>0.2</v>
      </c>
      <c r="L405" s="5">
        <f>INDEX(products!$A$1:$G$49,MATCH(orders!$D405,products!$A$1:$A$49,0),MATCH(orders!L$1,products!$A$1:$G$1,0))</f>
        <v>4.7549999999999999</v>
      </c>
      <c r="M405">
        <f>L405*E405</f>
        <v>9.51</v>
      </c>
      <c r="N405" t="str">
        <f>IF(I405="Rob","Robusta",IF(I405="Exc","Excelsa",IF(I405="Ara","Arabica",IF(I405="Lib","Liberica",""))))</f>
        <v>Liberica</v>
      </c>
      <c r="O405" t="str">
        <f t="shared" si="6"/>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9">
        <f>INDEX(products!$A$1:$G$49,MATCH(orders!$D406,products!$A$1:$A$49,0),MATCH(orders!K$1,products!$A$1:$G$1,0))</f>
        <v>1</v>
      </c>
      <c r="L406" s="5">
        <f>INDEX(products!$A$1:$G$49,MATCH(orders!$D406,products!$A$1:$A$49,0),MATCH(orders!L$1,products!$A$1:$G$1,0))</f>
        <v>9.9499999999999993</v>
      </c>
      <c r="M406">
        <f>L406*E406</f>
        <v>39.799999999999997</v>
      </c>
      <c r="N406" t="str">
        <f>IF(I406="Rob","Robusta",IF(I406="Exc","Excelsa",IF(I406="Ara","Arabica",IF(I406="Lib","Liberica",""))))</f>
        <v>Arabica</v>
      </c>
      <c r="O406" t="str">
        <f t="shared" si="6"/>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9">
        <f>INDEX(products!$A$1:$G$49,MATCH(orders!$D407,products!$A$1:$A$49,0),MATCH(orders!K$1,products!$A$1:$G$1,0))</f>
        <v>0.5</v>
      </c>
      <c r="L407" s="5">
        <f>INDEX(products!$A$1:$G$49,MATCH(orders!$D407,products!$A$1:$A$49,0),MATCH(orders!L$1,products!$A$1:$G$1,0))</f>
        <v>8.25</v>
      </c>
      <c r="M407">
        <f>L407*E407</f>
        <v>24.75</v>
      </c>
      <c r="N407" t="str">
        <f>IF(I407="Rob","Robusta",IF(I407="Exc","Excelsa",IF(I407="Ara","Arabica",IF(I407="Lib","Liberica",""))))</f>
        <v>Excelsa</v>
      </c>
      <c r="O407" t="str">
        <f t="shared" si="6"/>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9">
        <f>INDEX(products!$A$1:$G$49,MATCH(orders!$D408,products!$A$1:$A$49,0),MATCH(orders!K$1,products!$A$1:$G$1,0))</f>
        <v>1</v>
      </c>
      <c r="L408" s="5">
        <f>INDEX(products!$A$1:$G$49,MATCH(orders!$D408,products!$A$1:$A$49,0),MATCH(orders!L$1,products!$A$1:$G$1,0))</f>
        <v>13.75</v>
      </c>
      <c r="M408">
        <f>L408*E408</f>
        <v>68.75</v>
      </c>
      <c r="N408" t="str">
        <f>IF(I408="Rob","Robusta",IF(I408="Exc","Excelsa",IF(I408="Ara","Arabica",IF(I408="Lib","Liberica",""))))</f>
        <v>Excelsa</v>
      </c>
      <c r="O408" t="str">
        <f t="shared" si="6"/>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f>_xlfn.XLOOKUP(C409,customers!$A$1:$A$1001,customers!$C$1:$C$1001,,0)</f>
        <v>0</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9">
        <f>INDEX(products!$A$1:$G$49,MATCH(orders!$D409,products!$A$1:$A$49,0),MATCH(orders!K$1,products!$A$1:$G$1,0))</f>
        <v>0.5</v>
      </c>
      <c r="L409" s="5">
        <f>INDEX(products!$A$1:$G$49,MATCH(orders!$D409,products!$A$1:$A$49,0),MATCH(orders!L$1,products!$A$1:$G$1,0))</f>
        <v>8.25</v>
      </c>
      <c r="M409">
        <f>L409*E409</f>
        <v>49.5</v>
      </c>
      <c r="N409" t="str">
        <f>IF(I409="Rob","Robusta",IF(I409="Exc","Excelsa",IF(I409="Ara","Arabica",IF(I409="Lib","Liberica",""))))</f>
        <v>Excelsa</v>
      </c>
      <c r="O409" t="str">
        <f t="shared" si="6"/>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9">
        <f>INDEX(products!$A$1:$G$49,MATCH(orders!$D410,products!$A$1:$A$49,0),MATCH(orders!K$1,products!$A$1:$G$1,0))</f>
        <v>2.5</v>
      </c>
      <c r="L410" s="5">
        <f>INDEX(products!$A$1:$G$49,MATCH(orders!$D410,products!$A$1:$A$49,0),MATCH(orders!L$1,products!$A$1:$G$1,0))</f>
        <v>25.874999999999996</v>
      </c>
      <c r="M410">
        <f>L410*E410</f>
        <v>51.749999999999993</v>
      </c>
      <c r="N410" t="str">
        <f>IF(I410="Rob","Robusta",IF(I410="Exc","Excelsa",IF(I410="Ara","Arabica",IF(I410="Lib","Liberica",""))))</f>
        <v>Arabica</v>
      </c>
      <c r="O410" t="str">
        <f t="shared" si="6"/>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f>_xlfn.XLOOKUP(C411,customers!$A$1:$A$1001,customers!$C$1:$C$1001,,0)</f>
        <v>0</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9">
        <f>INDEX(products!$A$1:$G$49,MATCH(orders!$D411,products!$A$1:$A$49,0),MATCH(orders!K$1,products!$A$1:$G$1,0))</f>
        <v>1</v>
      </c>
      <c r="L411" s="5">
        <f>INDEX(products!$A$1:$G$49,MATCH(orders!$D411,products!$A$1:$A$49,0),MATCH(orders!L$1,products!$A$1:$G$1,0))</f>
        <v>15.85</v>
      </c>
      <c r="M411">
        <f>L411*E411</f>
        <v>47.55</v>
      </c>
      <c r="N411" t="str">
        <f>IF(I411="Rob","Robusta",IF(I411="Exc","Excelsa",IF(I411="Ara","Arabica",IF(I411="Lib","Liberica",""))))</f>
        <v>Liberica</v>
      </c>
      <c r="O411" t="str">
        <f t="shared" si="6"/>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f>_xlfn.XLOOKUP(C412,customers!$A$1:$A$1001,customers!$C$1:$C$1001,,0)</f>
        <v>0</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9">
        <f>INDEX(products!$A$1:$G$49,MATCH(orders!$D412,products!$A$1:$A$49,0),MATCH(orders!K$1,products!$A$1:$G$1,0))</f>
        <v>0.2</v>
      </c>
      <c r="L412" s="5">
        <f>INDEX(products!$A$1:$G$49,MATCH(orders!$D412,products!$A$1:$A$49,0),MATCH(orders!L$1,products!$A$1:$G$1,0))</f>
        <v>3.8849999999999998</v>
      </c>
      <c r="M412">
        <f>L412*E412</f>
        <v>15.54</v>
      </c>
      <c r="N412" t="str">
        <f>IF(I412="Rob","Robusta",IF(I412="Exc","Excelsa",IF(I412="Ara","Arabica",IF(I412="Lib","Liberica",""))))</f>
        <v>Arabica</v>
      </c>
      <c r="O412" t="str">
        <f t="shared" si="6"/>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f>_xlfn.XLOOKUP(C413,customers!$A$1:$A$1001,customers!$C$1:$C$1001,,0)</f>
        <v>0</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9">
        <f>INDEX(products!$A$1:$G$49,MATCH(orders!$D413,products!$A$1:$A$49,0),MATCH(orders!K$1,products!$A$1:$G$1,0))</f>
        <v>1</v>
      </c>
      <c r="L413" s="5">
        <f>INDEX(products!$A$1:$G$49,MATCH(orders!$D413,products!$A$1:$A$49,0),MATCH(orders!L$1,products!$A$1:$G$1,0))</f>
        <v>14.55</v>
      </c>
      <c r="M413">
        <f>L413*E413</f>
        <v>87.300000000000011</v>
      </c>
      <c r="N413" t="str">
        <f>IF(I413="Rob","Robusta",IF(I413="Exc","Excelsa",IF(I413="Ara","Arabica",IF(I413="Lib","Liberica",""))))</f>
        <v>Liberica</v>
      </c>
      <c r="O413" t="str">
        <f t="shared" si="6"/>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f>_xlfn.XLOOKUP(C414,customers!$A$1:$A$1001,customers!$C$1:$C$1001,,0)</f>
        <v>0</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9">
        <f>INDEX(products!$A$1:$G$49,MATCH(orders!$D414,products!$A$1:$A$49,0),MATCH(orders!K$1,products!$A$1:$G$1,0))</f>
        <v>1</v>
      </c>
      <c r="L414" s="5">
        <f>INDEX(products!$A$1:$G$49,MATCH(orders!$D414,products!$A$1:$A$49,0),MATCH(orders!L$1,products!$A$1:$G$1,0))</f>
        <v>11.25</v>
      </c>
      <c r="M414">
        <f>L414*E414</f>
        <v>56.25</v>
      </c>
      <c r="N414" t="str">
        <f>IF(I414="Rob","Robusta",IF(I414="Exc","Excelsa",IF(I414="Ara","Arabica",IF(I414="Lib","Liberica",""))))</f>
        <v>Arabica</v>
      </c>
      <c r="O414" t="str">
        <f t="shared" si="6"/>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9">
        <f>INDEX(products!$A$1:$G$49,MATCH(orders!$D415,products!$A$1:$A$49,0),MATCH(orders!K$1,products!$A$1:$G$1,0))</f>
        <v>2.5</v>
      </c>
      <c r="L415" s="5">
        <f>INDEX(products!$A$1:$G$49,MATCH(orders!$D415,products!$A$1:$A$49,0),MATCH(orders!L$1,products!$A$1:$G$1,0))</f>
        <v>36.454999999999998</v>
      </c>
      <c r="M415">
        <f>L415*E415</f>
        <v>36.454999999999998</v>
      </c>
      <c r="N415" t="str">
        <f>IF(I415="Rob","Robusta",IF(I415="Exc","Excelsa",IF(I415="Ara","Arabica",IF(I415="Lib","Liberica",""))))</f>
        <v>Liberica</v>
      </c>
      <c r="O415" t="str">
        <f t="shared" si="6"/>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f>_xlfn.XLOOKUP(C416,customers!$A$1:$A$1001,customers!$C$1:$C$1001,,0)</f>
        <v>0</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9">
        <f>INDEX(products!$A$1:$G$49,MATCH(orders!$D416,products!$A$1:$A$49,0),MATCH(orders!K$1,products!$A$1:$G$1,0))</f>
        <v>0.2</v>
      </c>
      <c r="L416" s="5">
        <f>INDEX(products!$A$1:$G$49,MATCH(orders!$D416,products!$A$1:$A$49,0),MATCH(orders!L$1,products!$A$1:$G$1,0))</f>
        <v>3.5849999999999995</v>
      </c>
      <c r="M416">
        <f>L416*E416</f>
        <v>10.754999999999999</v>
      </c>
      <c r="N416" t="str">
        <f>IF(I416="Rob","Robusta",IF(I416="Exc","Excelsa",IF(I416="Ara","Arabica",IF(I416="Lib","Liberica",""))))</f>
        <v>Robusta</v>
      </c>
      <c r="O416" t="str">
        <f t="shared" si="6"/>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9">
        <f>INDEX(products!$A$1:$G$49,MATCH(orders!$D417,products!$A$1:$A$49,0),MATCH(orders!K$1,products!$A$1:$G$1,0))</f>
        <v>0.2</v>
      </c>
      <c r="L417" s="5">
        <f>INDEX(products!$A$1:$G$49,MATCH(orders!$D417,products!$A$1:$A$49,0),MATCH(orders!L$1,products!$A$1:$G$1,0))</f>
        <v>2.9849999999999999</v>
      </c>
      <c r="M417">
        <f>L417*E417</f>
        <v>8.9550000000000001</v>
      </c>
      <c r="N417" t="str">
        <f>IF(I417="Rob","Robusta",IF(I417="Exc","Excelsa",IF(I417="Ara","Arabica",IF(I417="Lib","Liberica",""))))</f>
        <v>Robusta</v>
      </c>
      <c r="O417" t="str">
        <f t="shared" si="6"/>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f>_xlfn.XLOOKUP(C418,customers!$A$1:$A$1001,customers!$C$1:$C$1001,,0)</f>
        <v>0</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9">
        <f>INDEX(products!$A$1:$G$49,MATCH(orders!$D418,products!$A$1:$A$49,0),MATCH(orders!K$1,products!$A$1:$G$1,0))</f>
        <v>0.5</v>
      </c>
      <c r="L418" s="5">
        <f>INDEX(products!$A$1:$G$49,MATCH(orders!$D418,products!$A$1:$A$49,0),MATCH(orders!L$1,products!$A$1:$G$1,0))</f>
        <v>7.77</v>
      </c>
      <c r="M418">
        <f>L418*E418</f>
        <v>23.31</v>
      </c>
      <c r="N418" t="str">
        <f>IF(I418="Rob","Robusta",IF(I418="Exc","Excelsa",IF(I418="Ara","Arabica",IF(I418="Lib","Liberica",""))))</f>
        <v>Arabica</v>
      </c>
      <c r="O418" t="str">
        <f t="shared" si="6"/>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f>_xlfn.XLOOKUP(C419,customers!$A$1:$A$1001,customers!$C$1:$C$1001,,0)</f>
        <v>0</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9">
        <f>INDEX(products!$A$1:$G$49,MATCH(orders!$D419,products!$A$1:$A$49,0),MATCH(orders!K$1,products!$A$1:$G$1,0))</f>
        <v>2.5</v>
      </c>
      <c r="L419" s="5">
        <f>INDEX(products!$A$1:$G$49,MATCH(orders!$D419,products!$A$1:$A$49,0),MATCH(orders!L$1,products!$A$1:$G$1,0))</f>
        <v>29.784999999999997</v>
      </c>
      <c r="M419">
        <f>L419*E419</f>
        <v>29.784999999999997</v>
      </c>
      <c r="N419" t="str">
        <f>IF(I419="Rob","Robusta",IF(I419="Exc","Excelsa",IF(I419="Ara","Arabica",IF(I419="Lib","Liberica",""))))</f>
        <v>Arabica</v>
      </c>
      <c r="O419" t="str">
        <f t="shared" si="6"/>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9">
        <f>INDEX(products!$A$1:$G$49,MATCH(orders!$D420,products!$A$1:$A$49,0),MATCH(orders!K$1,products!$A$1:$G$1,0))</f>
        <v>2.5</v>
      </c>
      <c r="L420" s="5">
        <f>INDEX(products!$A$1:$G$49,MATCH(orders!$D420,products!$A$1:$A$49,0),MATCH(orders!L$1,products!$A$1:$G$1,0))</f>
        <v>29.784999999999997</v>
      </c>
      <c r="M420">
        <f>L420*E420</f>
        <v>148.92499999999998</v>
      </c>
      <c r="N420" t="str">
        <f>IF(I420="Rob","Robusta",IF(I420="Exc","Excelsa",IF(I420="Ara","Arabica",IF(I420="Lib","Liberica",""))))</f>
        <v>Arabica</v>
      </c>
      <c r="O420" t="str">
        <f t="shared" si="6"/>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9">
        <f>INDEX(products!$A$1:$G$49,MATCH(orders!$D421,products!$A$1:$A$49,0),MATCH(orders!K$1,products!$A$1:$G$1,0))</f>
        <v>0.5</v>
      </c>
      <c r="L421" s="5">
        <f>INDEX(products!$A$1:$G$49,MATCH(orders!$D421,products!$A$1:$A$49,0),MATCH(orders!L$1,products!$A$1:$G$1,0))</f>
        <v>8.73</v>
      </c>
      <c r="M421">
        <f>L421*E421</f>
        <v>8.73</v>
      </c>
      <c r="N421" t="str">
        <f>IF(I421="Rob","Robusta",IF(I421="Exc","Excelsa",IF(I421="Ara","Arabica",IF(I421="Lib","Liberica",""))))</f>
        <v>Liberica</v>
      </c>
      <c r="O421" t="str">
        <f t="shared" si="6"/>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9">
        <f>INDEX(products!$A$1:$G$49,MATCH(orders!$D422,products!$A$1:$A$49,0),MATCH(orders!K$1,products!$A$1:$G$1,0))</f>
        <v>0.5</v>
      </c>
      <c r="L422" s="5">
        <f>INDEX(products!$A$1:$G$49,MATCH(orders!$D422,products!$A$1:$A$49,0),MATCH(orders!L$1,products!$A$1:$G$1,0))</f>
        <v>7.77</v>
      </c>
      <c r="M422">
        <f>L422*E422</f>
        <v>31.08</v>
      </c>
      <c r="N422" t="str">
        <f>IF(I422="Rob","Robusta",IF(I422="Exc","Excelsa",IF(I422="Ara","Arabica",IF(I422="Lib","Liberica",""))))</f>
        <v>Liberica</v>
      </c>
      <c r="O422" t="str">
        <f t="shared" si="6"/>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9">
        <f>INDEX(products!$A$1:$G$49,MATCH(orders!$D423,products!$A$1:$A$49,0),MATCH(orders!K$1,products!$A$1:$G$1,0))</f>
        <v>2.5</v>
      </c>
      <c r="L423" s="5">
        <f>INDEX(products!$A$1:$G$49,MATCH(orders!$D423,products!$A$1:$A$49,0),MATCH(orders!L$1,products!$A$1:$G$1,0))</f>
        <v>22.884999999999998</v>
      </c>
      <c r="M423">
        <f>L423*E423</f>
        <v>137.31</v>
      </c>
      <c r="N423" t="str">
        <f>IF(I423="Rob","Robusta",IF(I423="Exc","Excelsa",IF(I423="Ara","Arabica",IF(I423="Lib","Liberica",""))))</f>
        <v>Arabica</v>
      </c>
      <c r="O423" t="str">
        <f t="shared" si="6"/>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f>_xlfn.XLOOKUP(C424,customers!$A$1:$A$1001,customers!$C$1:$C$1001,,0)</f>
        <v>0</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9">
        <f>INDEX(products!$A$1:$G$49,MATCH(orders!$D424,products!$A$1:$A$49,0),MATCH(orders!K$1,products!$A$1:$G$1,0))</f>
        <v>0.5</v>
      </c>
      <c r="L424" s="5">
        <f>INDEX(products!$A$1:$G$49,MATCH(orders!$D424,products!$A$1:$A$49,0),MATCH(orders!L$1,products!$A$1:$G$1,0))</f>
        <v>5.97</v>
      </c>
      <c r="M424">
        <f>L424*E424</f>
        <v>29.849999999999998</v>
      </c>
      <c r="N424" t="str">
        <f>IF(I424="Rob","Robusta",IF(I424="Exc","Excelsa",IF(I424="Ara","Arabica",IF(I424="Lib","Liberica",""))))</f>
        <v>Arabica</v>
      </c>
      <c r="O424" t="str">
        <f t="shared" si="6"/>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f>_xlfn.XLOOKUP(C425,customers!$A$1:$A$1001,customers!$C$1:$C$1001,,0)</f>
        <v>0</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9">
        <f>INDEX(products!$A$1:$G$49,MATCH(orders!$D425,products!$A$1:$A$49,0),MATCH(orders!K$1,products!$A$1:$G$1,0))</f>
        <v>0.5</v>
      </c>
      <c r="L425" s="5">
        <f>INDEX(products!$A$1:$G$49,MATCH(orders!$D425,products!$A$1:$A$49,0),MATCH(orders!L$1,products!$A$1:$G$1,0))</f>
        <v>5.97</v>
      </c>
      <c r="M425">
        <f>L425*E425</f>
        <v>17.91</v>
      </c>
      <c r="N425" t="str">
        <f>IF(I425="Rob","Robusta",IF(I425="Exc","Excelsa",IF(I425="Ara","Arabica",IF(I425="Lib","Liberica",""))))</f>
        <v>Robusta</v>
      </c>
      <c r="O425" t="str">
        <f t="shared" si="6"/>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9">
        <f>INDEX(products!$A$1:$G$49,MATCH(orders!$D426,products!$A$1:$A$49,0),MATCH(orders!K$1,products!$A$1:$G$1,0))</f>
        <v>0.5</v>
      </c>
      <c r="L426" s="5">
        <f>INDEX(products!$A$1:$G$49,MATCH(orders!$D426,products!$A$1:$A$49,0),MATCH(orders!L$1,products!$A$1:$G$1,0))</f>
        <v>8.91</v>
      </c>
      <c r="M426">
        <f>L426*E426</f>
        <v>26.73</v>
      </c>
      <c r="N426" t="str">
        <f>IF(I426="Rob","Robusta",IF(I426="Exc","Excelsa",IF(I426="Ara","Arabica",IF(I426="Lib","Liberica",""))))</f>
        <v>Excelsa</v>
      </c>
      <c r="O426" t="str">
        <f t="shared" si="6"/>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9">
        <f>INDEX(products!$A$1:$G$49,MATCH(orders!$D427,products!$A$1:$A$49,0),MATCH(orders!K$1,products!$A$1:$G$1,0))</f>
        <v>1</v>
      </c>
      <c r="L427" s="5">
        <f>INDEX(products!$A$1:$G$49,MATCH(orders!$D427,products!$A$1:$A$49,0),MATCH(orders!L$1,products!$A$1:$G$1,0))</f>
        <v>8.9499999999999993</v>
      </c>
      <c r="M427">
        <f>L427*E427</f>
        <v>17.899999999999999</v>
      </c>
      <c r="N427" t="str">
        <f>IF(I427="Rob","Robusta",IF(I427="Exc","Excelsa",IF(I427="Ara","Arabica",IF(I427="Lib","Liberica",""))))</f>
        <v>Robusta</v>
      </c>
      <c r="O427" t="str">
        <f t="shared" si="6"/>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9">
        <f>INDEX(products!$A$1:$G$49,MATCH(orders!$D428,products!$A$1:$A$49,0),MATCH(orders!K$1,products!$A$1:$G$1,0))</f>
        <v>0.2</v>
      </c>
      <c r="L428" s="5">
        <f>INDEX(products!$A$1:$G$49,MATCH(orders!$D428,products!$A$1:$A$49,0),MATCH(orders!L$1,products!$A$1:$G$1,0))</f>
        <v>3.5849999999999995</v>
      </c>
      <c r="M428">
        <f>L428*E428</f>
        <v>14.339999999999998</v>
      </c>
      <c r="N428" t="str">
        <f>IF(I428="Rob","Robusta",IF(I428="Exc","Excelsa",IF(I428="Ara","Arabica",IF(I428="Lib","Liberica",""))))</f>
        <v>Robusta</v>
      </c>
      <c r="O428" t="str">
        <f t="shared" si="6"/>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f>_xlfn.XLOOKUP(C429,customers!$A$1:$A$1001,customers!$C$1:$C$1001,,0)</f>
        <v>0</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9">
        <f>INDEX(products!$A$1:$G$49,MATCH(orders!$D429,products!$A$1:$A$49,0),MATCH(orders!K$1,products!$A$1:$G$1,0))</f>
        <v>2.5</v>
      </c>
      <c r="L429" s="5">
        <f>INDEX(products!$A$1:$G$49,MATCH(orders!$D429,products!$A$1:$A$49,0),MATCH(orders!L$1,products!$A$1:$G$1,0))</f>
        <v>25.874999999999996</v>
      </c>
      <c r="M429">
        <f>L429*E429</f>
        <v>77.624999999999986</v>
      </c>
      <c r="N429" t="str">
        <f>IF(I429="Rob","Robusta",IF(I429="Exc","Excelsa",IF(I429="Ara","Arabica",IF(I429="Lib","Liberica",""))))</f>
        <v>Arabica</v>
      </c>
      <c r="O429" t="str">
        <f t="shared" si="6"/>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9">
        <f>INDEX(products!$A$1:$G$49,MATCH(orders!$D430,products!$A$1:$A$49,0),MATCH(orders!K$1,products!$A$1:$G$1,0))</f>
        <v>1</v>
      </c>
      <c r="L430" s="5">
        <f>INDEX(products!$A$1:$G$49,MATCH(orders!$D430,products!$A$1:$A$49,0),MATCH(orders!L$1,products!$A$1:$G$1,0))</f>
        <v>11.95</v>
      </c>
      <c r="M430">
        <f>L430*E430</f>
        <v>59.75</v>
      </c>
      <c r="N430" t="str">
        <f>IF(I430="Rob","Robusta",IF(I430="Exc","Excelsa",IF(I430="Ara","Arabica",IF(I430="Lib","Liberica",""))))</f>
        <v>Robusta</v>
      </c>
      <c r="O430" t="str">
        <f t="shared" si="6"/>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9">
        <f>INDEX(products!$A$1:$G$49,MATCH(orders!$D431,products!$A$1:$A$49,0),MATCH(orders!K$1,products!$A$1:$G$1,0))</f>
        <v>1</v>
      </c>
      <c r="L431" s="5">
        <f>INDEX(products!$A$1:$G$49,MATCH(orders!$D431,products!$A$1:$A$49,0),MATCH(orders!L$1,products!$A$1:$G$1,0))</f>
        <v>12.95</v>
      </c>
      <c r="M431">
        <f>L431*E431</f>
        <v>77.699999999999989</v>
      </c>
      <c r="N431" t="str">
        <f>IF(I431="Rob","Robusta",IF(I431="Exc","Excelsa",IF(I431="Ara","Arabica",IF(I431="Lib","Liberica",""))))</f>
        <v>Arabica</v>
      </c>
      <c r="O431" t="str">
        <f t="shared" si="6"/>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9">
        <f>INDEX(products!$A$1:$G$49,MATCH(orders!$D432,products!$A$1:$A$49,0),MATCH(orders!K$1,products!$A$1:$G$1,0))</f>
        <v>0.2</v>
      </c>
      <c r="L432" s="5">
        <f>INDEX(products!$A$1:$G$49,MATCH(orders!$D432,products!$A$1:$A$49,0),MATCH(orders!L$1,products!$A$1:$G$1,0))</f>
        <v>2.6849999999999996</v>
      </c>
      <c r="M432">
        <f>L432*E432</f>
        <v>5.3699999999999992</v>
      </c>
      <c r="N432" t="str">
        <f>IF(I432="Rob","Robusta",IF(I432="Exc","Excelsa",IF(I432="Ara","Arabica",IF(I432="Lib","Liberica",""))))</f>
        <v>Robusta</v>
      </c>
      <c r="O432" t="str">
        <f t="shared" si="6"/>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9">
        <f>INDEX(products!$A$1:$G$49,MATCH(orders!$D433,products!$A$1:$A$49,0),MATCH(orders!K$1,products!$A$1:$G$1,0))</f>
        <v>2.5</v>
      </c>
      <c r="L433" s="5">
        <f>INDEX(products!$A$1:$G$49,MATCH(orders!$D433,products!$A$1:$A$49,0),MATCH(orders!L$1,products!$A$1:$G$1,0))</f>
        <v>27.945</v>
      </c>
      <c r="M433">
        <f>L433*E433</f>
        <v>83.835000000000008</v>
      </c>
      <c r="N433" t="str">
        <f>IF(I433="Rob","Robusta",IF(I433="Exc","Excelsa",IF(I433="Ara","Arabica",IF(I433="Lib","Liberica",""))))</f>
        <v>Excelsa</v>
      </c>
      <c r="O433" t="str">
        <f t="shared" si="6"/>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f>_xlfn.XLOOKUP(C434,customers!$A$1:$A$1001,customers!$C$1:$C$1001,,0)</f>
        <v>0</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9">
        <f>INDEX(products!$A$1:$G$49,MATCH(orders!$D434,products!$A$1:$A$49,0),MATCH(orders!K$1,products!$A$1:$G$1,0))</f>
        <v>1</v>
      </c>
      <c r="L434" s="5">
        <f>INDEX(products!$A$1:$G$49,MATCH(orders!$D434,products!$A$1:$A$49,0),MATCH(orders!L$1,products!$A$1:$G$1,0))</f>
        <v>11.25</v>
      </c>
      <c r="M434">
        <f>L434*E434</f>
        <v>22.5</v>
      </c>
      <c r="N434" t="str">
        <f>IF(I434="Rob","Robusta",IF(I434="Exc","Excelsa",IF(I434="Ara","Arabica",IF(I434="Lib","Liberica",""))))</f>
        <v>Arabica</v>
      </c>
      <c r="O434" t="str">
        <f t="shared" si="6"/>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9">
        <f>INDEX(products!$A$1:$G$49,MATCH(orders!$D435,products!$A$1:$A$49,0),MATCH(orders!K$1,products!$A$1:$G$1,0))</f>
        <v>2.5</v>
      </c>
      <c r="L435" s="5">
        <f>INDEX(products!$A$1:$G$49,MATCH(orders!$D435,products!$A$1:$A$49,0),MATCH(orders!L$1,products!$A$1:$G$1,0))</f>
        <v>33.464999999999996</v>
      </c>
      <c r="M435">
        <f>L435*E435</f>
        <v>200.78999999999996</v>
      </c>
      <c r="N435" t="str">
        <f>IF(I435="Rob","Robusta",IF(I435="Exc","Excelsa",IF(I435="Ara","Arabica",IF(I435="Lib","Liberica",""))))</f>
        <v>Liberica</v>
      </c>
      <c r="O435" t="str">
        <f t="shared" si="6"/>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f>_xlfn.XLOOKUP(C436,customers!$A$1:$A$1001,customers!$C$1:$C$1001,,0)</f>
        <v>0</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9">
        <f>INDEX(products!$A$1:$G$49,MATCH(orders!$D436,products!$A$1:$A$49,0),MATCH(orders!K$1,products!$A$1:$G$1,0))</f>
        <v>1</v>
      </c>
      <c r="L436" s="5">
        <f>INDEX(products!$A$1:$G$49,MATCH(orders!$D436,products!$A$1:$A$49,0),MATCH(orders!L$1,products!$A$1:$G$1,0))</f>
        <v>11.25</v>
      </c>
      <c r="M436">
        <f>L436*E436</f>
        <v>67.5</v>
      </c>
      <c r="N436" t="str">
        <f>IF(I436="Rob","Robusta",IF(I436="Exc","Excelsa",IF(I436="Ara","Arabica",IF(I436="Lib","Liberica",""))))</f>
        <v>Arabica</v>
      </c>
      <c r="O436" t="str">
        <f t="shared" si="6"/>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9">
        <f>INDEX(products!$A$1:$G$49,MATCH(orders!$D437,products!$A$1:$A$49,0),MATCH(orders!K$1,products!$A$1:$G$1,0))</f>
        <v>0.5</v>
      </c>
      <c r="L437" s="5">
        <f>INDEX(products!$A$1:$G$49,MATCH(orders!$D437,products!$A$1:$A$49,0),MATCH(orders!L$1,products!$A$1:$G$1,0))</f>
        <v>8.25</v>
      </c>
      <c r="M437">
        <f>L437*E437</f>
        <v>8.25</v>
      </c>
      <c r="N437" t="str">
        <f>IF(I437="Rob","Robusta",IF(I437="Exc","Excelsa",IF(I437="Ara","Arabica",IF(I437="Lib","Liberica",""))))</f>
        <v>Excelsa</v>
      </c>
      <c r="O437" t="str">
        <f t="shared" si="6"/>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9">
        <f>INDEX(products!$A$1:$G$49,MATCH(orders!$D438,products!$A$1:$A$49,0),MATCH(orders!K$1,products!$A$1:$G$1,0))</f>
        <v>0.2</v>
      </c>
      <c r="L438" s="5">
        <f>INDEX(products!$A$1:$G$49,MATCH(orders!$D438,products!$A$1:$A$49,0),MATCH(orders!L$1,products!$A$1:$G$1,0))</f>
        <v>4.7549999999999999</v>
      </c>
      <c r="M438">
        <f>L438*E438</f>
        <v>9.51</v>
      </c>
      <c r="N438" t="str">
        <f>IF(I438="Rob","Robusta",IF(I438="Exc","Excelsa",IF(I438="Ara","Arabica",IF(I438="Lib","Liberica",""))))</f>
        <v>Liberica</v>
      </c>
      <c r="O438" t="str">
        <f t="shared" si="6"/>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f>_xlfn.XLOOKUP(C439,customers!$A$1:$A$1001,customers!$C$1:$C$1001,,0)</f>
        <v>0</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9">
        <f>INDEX(products!$A$1:$G$49,MATCH(orders!$D439,products!$A$1:$A$49,0),MATCH(orders!K$1,products!$A$1:$G$1,0))</f>
        <v>2.5</v>
      </c>
      <c r="L439" s="5">
        <f>INDEX(products!$A$1:$G$49,MATCH(orders!$D439,products!$A$1:$A$49,0),MATCH(orders!L$1,products!$A$1:$G$1,0))</f>
        <v>29.784999999999997</v>
      </c>
      <c r="M439">
        <f>L439*E439</f>
        <v>29.784999999999997</v>
      </c>
      <c r="N439" t="str">
        <f>IF(I439="Rob","Robusta",IF(I439="Exc","Excelsa",IF(I439="Ara","Arabica",IF(I439="Lib","Liberica",""))))</f>
        <v>Liberica</v>
      </c>
      <c r="O439" t="str">
        <f t="shared" si="6"/>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9">
        <f>INDEX(products!$A$1:$G$49,MATCH(orders!$D440,products!$A$1:$A$49,0),MATCH(orders!K$1,products!$A$1:$G$1,0))</f>
        <v>0.5</v>
      </c>
      <c r="L440" s="5">
        <f>INDEX(products!$A$1:$G$49,MATCH(orders!$D440,products!$A$1:$A$49,0),MATCH(orders!L$1,products!$A$1:$G$1,0))</f>
        <v>7.77</v>
      </c>
      <c r="M440">
        <f>L440*E440</f>
        <v>15.54</v>
      </c>
      <c r="N440" t="str">
        <f>IF(I440="Rob","Robusta",IF(I440="Exc","Excelsa",IF(I440="Ara","Arabica",IF(I440="Lib","Liberica",""))))</f>
        <v>Liberica</v>
      </c>
      <c r="O440" t="str">
        <f t="shared" si="6"/>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9">
        <f>INDEX(products!$A$1:$G$49,MATCH(orders!$D441,products!$A$1:$A$49,0),MATCH(orders!K$1,products!$A$1:$G$1,0))</f>
        <v>0.5</v>
      </c>
      <c r="L441" s="5">
        <f>INDEX(products!$A$1:$G$49,MATCH(orders!$D441,products!$A$1:$A$49,0),MATCH(orders!L$1,products!$A$1:$G$1,0))</f>
        <v>8.91</v>
      </c>
      <c r="M441">
        <f>L441*E441</f>
        <v>35.64</v>
      </c>
      <c r="N441" t="str">
        <f>IF(I441="Rob","Robusta",IF(I441="Exc","Excelsa",IF(I441="Ara","Arabica",IF(I441="Lib","Liberica",""))))</f>
        <v>Excelsa</v>
      </c>
      <c r="O441" t="str">
        <f t="shared" si="6"/>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9">
        <f>INDEX(products!$A$1:$G$49,MATCH(orders!$D442,products!$A$1:$A$49,0),MATCH(orders!K$1,products!$A$1:$G$1,0))</f>
        <v>2.5</v>
      </c>
      <c r="L442" s="5">
        <f>INDEX(products!$A$1:$G$49,MATCH(orders!$D442,products!$A$1:$A$49,0),MATCH(orders!L$1,products!$A$1:$G$1,0))</f>
        <v>25.874999999999996</v>
      </c>
      <c r="M442">
        <f>L442*E442</f>
        <v>103.49999999999999</v>
      </c>
      <c r="N442" t="str">
        <f>IF(I442="Rob","Robusta",IF(I442="Exc","Excelsa",IF(I442="Ara","Arabica",IF(I442="Lib","Liberica",""))))</f>
        <v>Arabica</v>
      </c>
      <c r="O442" t="str">
        <f t="shared" si="6"/>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9">
        <f>INDEX(products!$A$1:$G$49,MATCH(orders!$D443,products!$A$1:$A$49,0),MATCH(orders!K$1,products!$A$1:$G$1,0))</f>
        <v>1</v>
      </c>
      <c r="L443" s="5">
        <f>INDEX(products!$A$1:$G$49,MATCH(orders!$D443,products!$A$1:$A$49,0),MATCH(orders!L$1,products!$A$1:$G$1,0))</f>
        <v>12.15</v>
      </c>
      <c r="M443">
        <f>L443*E443</f>
        <v>36.450000000000003</v>
      </c>
      <c r="N443" t="str">
        <f>IF(I443="Rob","Robusta",IF(I443="Exc","Excelsa",IF(I443="Ara","Arabica",IF(I443="Lib","Liberica",""))))</f>
        <v>Excelsa</v>
      </c>
      <c r="O443" t="str">
        <f t="shared" si="6"/>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9">
        <f>INDEX(products!$A$1:$G$49,MATCH(orders!$D444,products!$A$1:$A$49,0),MATCH(orders!K$1,products!$A$1:$G$1,0))</f>
        <v>0.5</v>
      </c>
      <c r="L444" s="5">
        <f>INDEX(products!$A$1:$G$49,MATCH(orders!$D444,products!$A$1:$A$49,0),MATCH(orders!L$1,products!$A$1:$G$1,0))</f>
        <v>7.169999999999999</v>
      </c>
      <c r="M444">
        <f>L444*E444</f>
        <v>35.849999999999994</v>
      </c>
      <c r="N444" t="str">
        <f>IF(I444="Rob","Robusta",IF(I444="Exc","Excelsa",IF(I444="Ara","Arabica",IF(I444="Lib","Liberica",""))))</f>
        <v>Robusta</v>
      </c>
      <c r="O444" t="str">
        <f t="shared" si="6"/>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9">
        <f>INDEX(products!$A$1:$G$49,MATCH(orders!$D445,products!$A$1:$A$49,0),MATCH(orders!K$1,products!$A$1:$G$1,0))</f>
        <v>0.2</v>
      </c>
      <c r="L445" s="5">
        <f>INDEX(products!$A$1:$G$49,MATCH(orders!$D445,products!$A$1:$A$49,0),MATCH(orders!L$1,products!$A$1:$G$1,0))</f>
        <v>4.4550000000000001</v>
      </c>
      <c r="M445">
        <f>L445*E445</f>
        <v>22.274999999999999</v>
      </c>
      <c r="N445" t="str">
        <f>IF(I445="Rob","Robusta",IF(I445="Exc","Excelsa",IF(I445="Ara","Arabica",IF(I445="Lib","Liberica",""))))</f>
        <v>Excelsa</v>
      </c>
      <c r="O445" t="str">
        <f t="shared" si="6"/>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9">
        <f>INDEX(products!$A$1:$G$49,MATCH(orders!$D446,products!$A$1:$A$49,0),MATCH(orders!K$1,products!$A$1:$G$1,0))</f>
        <v>0.2</v>
      </c>
      <c r="L446" s="5">
        <f>INDEX(products!$A$1:$G$49,MATCH(orders!$D446,products!$A$1:$A$49,0),MATCH(orders!L$1,products!$A$1:$G$1,0))</f>
        <v>4.125</v>
      </c>
      <c r="M446">
        <f>L446*E446</f>
        <v>24.75</v>
      </c>
      <c r="N446" t="str">
        <f>IF(I446="Rob","Robusta",IF(I446="Exc","Excelsa",IF(I446="Ara","Arabica",IF(I446="Lib","Liberica",""))))</f>
        <v>Excelsa</v>
      </c>
      <c r="O446" t="str">
        <f t="shared" si="6"/>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9">
        <f>INDEX(products!$A$1:$G$49,MATCH(orders!$D447,products!$A$1:$A$49,0),MATCH(orders!K$1,products!$A$1:$G$1,0))</f>
        <v>2.5</v>
      </c>
      <c r="L447" s="5">
        <f>INDEX(products!$A$1:$G$49,MATCH(orders!$D447,products!$A$1:$A$49,0),MATCH(orders!L$1,products!$A$1:$G$1,0))</f>
        <v>33.464999999999996</v>
      </c>
      <c r="M447">
        <f>L447*E447</f>
        <v>66.929999999999993</v>
      </c>
      <c r="N447" t="str">
        <f>IF(I447="Rob","Robusta",IF(I447="Exc","Excelsa",IF(I447="Ara","Arabica",IF(I447="Lib","Liberica",""))))</f>
        <v>Liberica</v>
      </c>
      <c r="O447" t="str">
        <f t="shared" si="6"/>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9">
        <f>INDEX(products!$A$1:$G$49,MATCH(orders!$D448,products!$A$1:$A$49,0),MATCH(orders!K$1,products!$A$1:$G$1,0))</f>
        <v>0.5</v>
      </c>
      <c r="L448" s="5">
        <f>INDEX(products!$A$1:$G$49,MATCH(orders!$D448,products!$A$1:$A$49,0),MATCH(orders!L$1,products!$A$1:$G$1,0))</f>
        <v>8.73</v>
      </c>
      <c r="M448">
        <f>L448*E448</f>
        <v>8.73</v>
      </c>
      <c r="N448" t="str">
        <f>IF(I448="Rob","Robusta",IF(I448="Exc","Excelsa",IF(I448="Ara","Arabica",IF(I448="Lib","Liberica",""))))</f>
        <v>Liberica</v>
      </c>
      <c r="O448" t="str">
        <f t="shared" si="6"/>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9">
        <f>INDEX(products!$A$1:$G$49,MATCH(orders!$D449,products!$A$1:$A$49,0),MATCH(orders!K$1,products!$A$1:$G$1,0))</f>
        <v>0.5</v>
      </c>
      <c r="L449" s="5">
        <f>INDEX(products!$A$1:$G$49,MATCH(orders!$D449,products!$A$1:$A$49,0),MATCH(orders!L$1,products!$A$1:$G$1,0))</f>
        <v>5.97</v>
      </c>
      <c r="M449">
        <f>L449*E449</f>
        <v>17.91</v>
      </c>
      <c r="N449" t="str">
        <f>IF(I449="Rob","Robusta",IF(I449="Exc","Excelsa",IF(I449="Ara","Arabica",IF(I449="Lib","Liberica",""))))</f>
        <v>Robusta</v>
      </c>
      <c r="O449" t="str">
        <f t="shared" si="6"/>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9">
        <f>INDEX(products!$A$1:$G$49,MATCH(orders!$D450,products!$A$1:$A$49,0),MATCH(orders!K$1,products!$A$1:$G$1,0))</f>
        <v>0.5</v>
      </c>
      <c r="L450" s="5">
        <f>INDEX(products!$A$1:$G$49,MATCH(orders!$D450,products!$A$1:$A$49,0),MATCH(orders!L$1,products!$A$1:$G$1,0))</f>
        <v>7.169999999999999</v>
      </c>
      <c r="M450">
        <f>L450*E450</f>
        <v>7.169999999999999</v>
      </c>
      <c r="N450" t="str">
        <f>IF(I450="Rob","Robusta",IF(I450="Exc","Excelsa",IF(I450="Ara","Arabica",IF(I450="Lib","Liberica",""))))</f>
        <v>Robusta</v>
      </c>
      <c r="O450" t="str">
        <f t="shared" si="6"/>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9">
        <f>INDEX(products!$A$1:$G$49,MATCH(orders!$D451,products!$A$1:$A$49,0),MATCH(orders!K$1,products!$A$1:$G$1,0))</f>
        <v>0.2</v>
      </c>
      <c r="L451" s="5">
        <f>INDEX(products!$A$1:$G$49,MATCH(orders!$D451,products!$A$1:$A$49,0),MATCH(orders!L$1,products!$A$1:$G$1,0))</f>
        <v>2.6849999999999996</v>
      </c>
      <c r="M451">
        <f>L451*E451</f>
        <v>5.3699999999999992</v>
      </c>
      <c r="N451" t="str">
        <f>IF(I451="Rob","Robusta",IF(I451="Exc","Excelsa",IF(I451="Ara","Arabica",IF(I451="Lib","Liberica",""))))</f>
        <v>Robusta</v>
      </c>
      <c r="O451" t="str">
        <f t="shared" ref="O451:O514" si="7">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9">
        <f>INDEX(products!$A$1:$G$49,MATCH(orders!$D452,products!$A$1:$A$49,0),MATCH(orders!K$1,products!$A$1:$G$1,0))</f>
        <v>0.2</v>
      </c>
      <c r="L452" s="5">
        <f>INDEX(products!$A$1:$G$49,MATCH(orders!$D452,products!$A$1:$A$49,0),MATCH(orders!L$1,products!$A$1:$G$1,0))</f>
        <v>4.7549999999999999</v>
      </c>
      <c r="M452">
        <f>L452*E452</f>
        <v>23.774999999999999</v>
      </c>
      <c r="N452" t="str">
        <f>IF(I452="Rob","Robusta",IF(I452="Exc","Excelsa",IF(I452="Ara","Arabica",IF(I452="Lib","Liberica",""))))</f>
        <v>Liberica</v>
      </c>
      <c r="O452" t="str">
        <f t="shared" si="7"/>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9">
        <f>INDEX(products!$A$1:$G$49,MATCH(orders!$D453,products!$A$1:$A$49,0),MATCH(orders!K$1,products!$A$1:$G$1,0))</f>
        <v>2.5</v>
      </c>
      <c r="L453" s="5">
        <f>INDEX(products!$A$1:$G$49,MATCH(orders!$D453,products!$A$1:$A$49,0),MATCH(orders!L$1,products!$A$1:$G$1,0))</f>
        <v>20.584999999999997</v>
      </c>
      <c r="M453">
        <f>L453*E453</f>
        <v>41.169999999999995</v>
      </c>
      <c r="N453" t="str">
        <f>IF(I453="Rob","Robusta",IF(I453="Exc","Excelsa",IF(I453="Ara","Arabica",IF(I453="Lib","Liberica",""))))</f>
        <v>Robusta</v>
      </c>
      <c r="O453" t="str">
        <f t="shared" si="7"/>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9">
        <f>INDEX(products!$A$1:$G$49,MATCH(orders!$D454,products!$A$1:$A$49,0),MATCH(orders!K$1,products!$A$1:$G$1,0))</f>
        <v>0.2</v>
      </c>
      <c r="L454" s="5">
        <f>INDEX(products!$A$1:$G$49,MATCH(orders!$D454,products!$A$1:$A$49,0),MATCH(orders!L$1,products!$A$1:$G$1,0))</f>
        <v>3.8849999999999998</v>
      </c>
      <c r="M454">
        <f>L454*E454</f>
        <v>11.654999999999999</v>
      </c>
      <c r="N454" t="str">
        <f>IF(I454="Rob","Robusta",IF(I454="Exc","Excelsa",IF(I454="Ara","Arabica",IF(I454="Lib","Liberica",""))))</f>
        <v>Arabica</v>
      </c>
      <c r="O454" t="str">
        <f t="shared" si="7"/>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9">
        <f>INDEX(products!$A$1:$G$49,MATCH(orders!$D455,products!$A$1:$A$49,0),MATCH(orders!K$1,products!$A$1:$G$1,0))</f>
        <v>0.5</v>
      </c>
      <c r="L455" s="5">
        <f>INDEX(products!$A$1:$G$49,MATCH(orders!$D455,products!$A$1:$A$49,0),MATCH(orders!L$1,products!$A$1:$G$1,0))</f>
        <v>9.51</v>
      </c>
      <c r="M455">
        <f>L455*E455</f>
        <v>38.04</v>
      </c>
      <c r="N455" t="str">
        <f>IF(I455="Rob","Robusta",IF(I455="Exc","Excelsa",IF(I455="Ara","Arabica",IF(I455="Lib","Liberica",""))))</f>
        <v>Liberica</v>
      </c>
      <c r="O455" t="str">
        <f t="shared" si="7"/>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9">
        <f>INDEX(products!$A$1:$G$49,MATCH(orders!$D456,products!$A$1:$A$49,0),MATCH(orders!K$1,products!$A$1:$G$1,0))</f>
        <v>2.5</v>
      </c>
      <c r="L456" s="5">
        <f>INDEX(products!$A$1:$G$49,MATCH(orders!$D456,products!$A$1:$A$49,0),MATCH(orders!L$1,products!$A$1:$G$1,0))</f>
        <v>20.584999999999997</v>
      </c>
      <c r="M456">
        <f>L456*E456</f>
        <v>82.339999999999989</v>
      </c>
      <c r="N456" t="str">
        <f>IF(I456="Rob","Robusta",IF(I456="Exc","Excelsa",IF(I456="Ara","Arabica",IF(I456="Lib","Liberica",""))))</f>
        <v>Robusta</v>
      </c>
      <c r="O456" t="str">
        <f t="shared" si="7"/>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9">
        <f>INDEX(products!$A$1:$G$49,MATCH(orders!$D457,products!$A$1:$A$49,0),MATCH(orders!K$1,products!$A$1:$G$1,0))</f>
        <v>0.2</v>
      </c>
      <c r="L457" s="5">
        <f>INDEX(products!$A$1:$G$49,MATCH(orders!$D457,products!$A$1:$A$49,0),MATCH(orders!L$1,products!$A$1:$G$1,0))</f>
        <v>4.7549999999999999</v>
      </c>
      <c r="M457">
        <f>L457*E457</f>
        <v>9.51</v>
      </c>
      <c r="N457" t="str">
        <f>IF(I457="Rob","Robusta",IF(I457="Exc","Excelsa",IF(I457="Ara","Arabica",IF(I457="Lib","Liberica",""))))</f>
        <v>Liberica</v>
      </c>
      <c r="O457" t="str">
        <f t="shared" si="7"/>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9">
        <f>INDEX(products!$A$1:$G$49,MATCH(orders!$D458,products!$A$1:$A$49,0),MATCH(orders!K$1,products!$A$1:$G$1,0))</f>
        <v>2.5</v>
      </c>
      <c r="L458" s="5">
        <f>INDEX(products!$A$1:$G$49,MATCH(orders!$D458,products!$A$1:$A$49,0),MATCH(orders!L$1,products!$A$1:$G$1,0))</f>
        <v>20.584999999999997</v>
      </c>
      <c r="M458">
        <f>L458*E458</f>
        <v>41.169999999999995</v>
      </c>
      <c r="N458" t="str">
        <f>IF(I458="Rob","Robusta",IF(I458="Exc","Excelsa",IF(I458="Ara","Arabica",IF(I458="Lib","Liberica",""))))</f>
        <v>Robusta</v>
      </c>
      <c r="O458" t="str">
        <f t="shared" si="7"/>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9">
        <f>INDEX(products!$A$1:$G$49,MATCH(orders!$D459,products!$A$1:$A$49,0),MATCH(orders!K$1,products!$A$1:$G$1,0))</f>
        <v>0.5</v>
      </c>
      <c r="L459" s="5">
        <f>INDEX(products!$A$1:$G$49,MATCH(orders!$D459,products!$A$1:$A$49,0),MATCH(orders!L$1,products!$A$1:$G$1,0))</f>
        <v>9.51</v>
      </c>
      <c r="M459">
        <f>L459*E459</f>
        <v>47.55</v>
      </c>
      <c r="N459" t="str">
        <f>IF(I459="Rob","Robusta",IF(I459="Exc","Excelsa",IF(I459="Ara","Arabica",IF(I459="Lib","Liberica",""))))</f>
        <v>Liberica</v>
      </c>
      <c r="O459" t="str">
        <f t="shared" si="7"/>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9">
        <f>INDEX(products!$A$1:$G$49,MATCH(orders!$D460,products!$A$1:$A$49,0),MATCH(orders!K$1,products!$A$1:$G$1,0))</f>
        <v>1</v>
      </c>
      <c r="L460" s="5">
        <f>INDEX(products!$A$1:$G$49,MATCH(orders!$D460,products!$A$1:$A$49,0),MATCH(orders!L$1,products!$A$1:$G$1,0))</f>
        <v>11.25</v>
      </c>
      <c r="M460">
        <f>L460*E460</f>
        <v>45</v>
      </c>
      <c r="N460" t="str">
        <f>IF(I460="Rob","Robusta",IF(I460="Exc","Excelsa",IF(I460="Ara","Arabica",IF(I460="Lib","Liberica",""))))</f>
        <v>Arabica</v>
      </c>
      <c r="O460" t="str">
        <f t="shared" si="7"/>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9">
        <f>INDEX(products!$A$1:$G$49,MATCH(orders!$D461,products!$A$1:$A$49,0),MATCH(orders!K$1,products!$A$1:$G$1,0))</f>
        <v>0.2</v>
      </c>
      <c r="L461" s="5">
        <f>INDEX(products!$A$1:$G$49,MATCH(orders!$D461,products!$A$1:$A$49,0),MATCH(orders!L$1,products!$A$1:$G$1,0))</f>
        <v>4.7549999999999999</v>
      </c>
      <c r="M461">
        <f>L461*E461</f>
        <v>23.774999999999999</v>
      </c>
      <c r="N461" t="str">
        <f>IF(I461="Rob","Robusta",IF(I461="Exc","Excelsa",IF(I461="Ara","Arabica",IF(I461="Lib","Liberica",""))))</f>
        <v>Liberica</v>
      </c>
      <c r="O461" t="str">
        <f t="shared" si="7"/>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9">
        <f>INDEX(products!$A$1:$G$49,MATCH(orders!$D462,products!$A$1:$A$49,0),MATCH(orders!K$1,products!$A$1:$G$1,0))</f>
        <v>0.5</v>
      </c>
      <c r="L462" s="5">
        <f>INDEX(products!$A$1:$G$49,MATCH(orders!$D462,products!$A$1:$A$49,0),MATCH(orders!L$1,products!$A$1:$G$1,0))</f>
        <v>5.3699999999999992</v>
      </c>
      <c r="M462">
        <f>L462*E462</f>
        <v>16.11</v>
      </c>
      <c r="N462" t="str">
        <f>IF(I462="Rob","Robusta",IF(I462="Exc","Excelsa",IF(I462="Ara","Arabica",IF(I462="Lib","Liberica",""))))</f>
        <v>Robusta</v>
      </c>
      <c r="O462" t="str">
        <f t="shared" si="7"/>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9">
        <f>INDEX(products!$A$1:$G$49,MATCH(orders!$D463,products!$A$1:$A$49,0),MATCH(orders!K$1,products!$A$1:$G$1,0))</f>
        <v>0.2</v>
      </c>
      <c r="L463" s="5">
        <f>INDEX(products!$A$1:$G$49,MATCH(orders!$D463,products!$A$1:$A$49,0),MATCH(orders!L$1,products!$A$1:$G$1,0))</f>
        <v>2.6849999999999996</v>
      </c>
      <c r="M463">
        <f>L463*E463</f>
        <v>10.739999999999998</v>
      </c>
      <c r="N463" t="str">
        <f>IF(I463="Rob","Robusta",IF(I463="Exc","Excelsa",IF(I463="Ara","Arabica",IF(I463="Lib","Liberica",""))))</f>
        <v>Robusta</v>
      </c>
      <c r="O463" t="str">
        <f t="shared" si="7"/>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9">
        <f>INDEX(products!$A$1:$G$49,MATCH(orders!$D464,products!$A$1:$A$49,0),MATCH(orders!K$1,products!$A$1:$G$1,0))</f>
        <v>1</v>
      </c>
      <c r="L464" s="5">
        <f>INDEX(products!$A$1:$G$49,MATCH(orders!$D464,products!$A$1:$A$49,0),MATCH(orders!L$1,products!$A$1:$G$1,0))</f>
        <v>9.9499999999999993</v>
      </c>
      <c r="M464">
        <f>L464*E464</f>
        <v>49.75</v>
      </c>
      <c r="N464" t="str">
        <f>IF(I464="Rob","Robusta",IF(I464="Exc","Excelsa",IF(I464="Ara","Arabica",IF(I464="Lib","Liberica",""))))</f>
        <v>Arabica</v>
      </c>
      <c r="O464" t="str">
        <f t="shared" si="7"/>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9">
        <f>INDEX(products!$A$1:$G$49,MATCH(orders!$D465,products!$A$1:$A$49,0),MATCH(orders!K$1,products!$A$1:$G$1,0))</f>
        <v>1</v>
      </c>
      <c r="L465" s="5">
        <f>INDEX(products!$A$1:$G$49,MATCH(orders!$D465,products!$A$1:$A$49,0),MATCH(orders!L$1,products!$A$1:$G$1,0))</f>
        <v>13.75</v>
      </c>
      <c r="M465">
        <f>L465*E465</f>
        <v>27.5</v>
      </c>
      <c r="N465" t="str">
        <f>IF(I465="Rob","Robusta",IF(I465="Exc","Excelsa",IF(I465="Ara","Arabica",IF(I465="Lib","Liberica",""))))</f>
        <v>Excelsa</v>
      </c>
      <c r="O465" t="str">
        <f t="shared" si="7"/>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9">
        <f>INDEX(products!$A$1:$G$49,MATCH(orders!$D466,products!$A$1:$A$49,0),MATCH(orders!K$1,products!$A$1:$G$1,0))</f>
        <v>2.5</v>
      </c>
      <c r="L466" s="5">
        <f>INDEX(products!$A$1:$G$49,MATCH(orders!$D466,products!$A$1:$A$49,0),MATCH(orders!L$1,products!$A$1:$G$1,0))</f>
        <v>29.784999999999997</v>
      </c>
      <c r="M466">
        <f>L466*E466</f>
        <v>119.13999999999999</v>
      </c>
      <c r="N466" t="str">
        <f>IF(I466="Rob","Robusta",IF(I466="Exc","Excelsa",IF(I466="Ara","Arabica",IF(I466="Lib","Liberica",""))))</f>
        <v>Liberica</v>
      </c>
      <c r="O466" t="str">
        <f t="shared" si="7"/>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9">
        <f>INDEX(products!$A$1:$G$49,MATCH(orders!$D467,products!$A$1:$A$49,0),MATCH(orders!K$1,products!$A$1:$G$1,0))</f>
        <v>2.5</v>
      </c>
      <c r="L467" s="5">
        <f>INDEX(products!$A$1:$G$49,MATCH(orders!$D467,products!$A$1:$A$49,0),MATCH(orders!L$1,products!$A$1:$G$1,0))</f>
        <v>20.584999999999997</v>
      </c>
      <c r="M467">
        <f>L467*E467</f>
        <v>20.584999999999997</v>
      </c>
      <c r="N467" t="str">
        <f>IF(I467="Rob","Robusta",IF(I467="Exc","Excelsa",IF(I467="Ara","Arabica",IF(I467="Lib","Liberica",""))))</f>
        <v>Robusta</v>
      </c>
      <c r="O467" t="str">
        <f t="shared" si="7"/>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9">
        <f>INDEX(products!$A$1:$G$49,MATCH(orders!$D468,products!$A$1:$A$49,0),MATCH(orders!K$1,products!$A$1:$G$1,0))</f>
        <v>0.2</v>
      </c>
      <c r="L468" s="5">
        <f>INDEX(products!$A$1:$G$49,MATCH(orders!$D468,products!$A$1:$A$49,0),MATCH(orders!L$1,products!$A$1:$G$1,0))</f>
        <v>2.9849999999999999</v>
      </c>
      <c r="M468">
        <f>L468*E468</f>
        <v>8.9550000000000001</v>
      </c>
      <c r="N468" t="str">
        <f>IF(I468="Rob","Robusta",IF(I468="Exc","Excelsa",IF(I468="Ara","Arabica",IF(I468="Lib","Liberica",""))))</f>
        <v>Arabica</v>
      </c>
      <c r="O468" t="str">
        <f t="shared" si="7"/>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9">
        <f>INDEX(products!$A$1:$G$49,MATCH(orders!$D469,products!$A$1:$A$49,0),MATCH(orders!K$1,products!$A$1:$G$1,0))</f>
        <v>0.5</v>
      </c>
      <c r="L469" s="5">
        <f>INDEX(products!$A$1:$G$49,MATCH(orders!$D469,products!$A$1:$A$49,0),MATCH(orders!L$1,products!$A$1:$G$1,0))</f>
        <v>5.97</v>
      </c>
      <c r="M469">
        <f>L469*E469</f>
        <v>5.97</v>
      </c>
      <c r="N469" t="str">
        <f>IF(I469="Rob","Robusta",IF(I469="Exc","Excelsa",IF(I469="Ara","Arabica",IF(I469="Lib","Liberica",""))))</f>
        <v>Arabica</v>
      </c>
      <c r="O469" t="str">
        <f t="shared" si="7"/>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9">
        <f>INDEX(products!$A$1:$G$49,MATCH(orders!$D470,products!$A$1:$A$49,0),MATCH(orders!K$1,products!$A$1:$G$1,0))</f>
        <v>1</v>
      </c>
      <c r="L470" s="5">
        <f>INDEX(products!$A$1:$G$49,MATCH(orders!$D470,products!$A$1:$A$49,0),MATCH(orders!L$1,products!$A$1:$G$1,0))</f>
        <v>13.75</v>
      </c>
      <c r="M470">
        <f>L470*E470</f>
        <v>41.25</v>
      </c>
      <c r="N470" t="str">
        <f>IF(I470="Rob","Robusta",IF(I470="Exc","Excelsa",IF(I470="Ara","Arabica",IF(I470="Lib","Liberica",""))))</f>
        <v>Excelsa</v>
      </c>
      <c r="O470" t="str">
        <f t="shared" si="7"/>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9">
        <f>INDEX(products!$A$1:$G$49,MATCH(orders!$D471,products!$A$1:$A$49,0),MATCH(orders!K$1,products!$A$1:$G$1,0))</f>
        <v>0.2</v>
      </c>
      <c r="L471" s="5">
        <f>INDEX(products!$A$1:$G$49,MATCH(orders!$D471,products!$A$1:$A$49,0),MATCH(orders!L$1,products!$A$1:$G$1,0))</f>
        <v>4.4550000000000001</v>
      </c>
      <c r="M471">
        <f>L471*E471</f>
        <v>22.274999999999999</v>
      </c>
      <c r="N471" t="str">
        <f>IF(I471="Rob","Robusta",IF(I471="Exc","Excelsa",IF(I471="Ara","Arabica",IF(I471="Lib","Liberica",""))))</f>
        <v>Excelsa</v>
      </c>
      <c r="O471" t="str">
        <f t="shared" si="7"/>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9">
        <f>INDEX(products!$A$1:$G$49,MATCH(orders!$D472,products!$A$1:$A$49,0),MATCH(orders!K$1,products!$A$1:$G$1,0))</f>
        <v>0.5</v>
      </c>
      <c r="L472" s="5">
        <f>INDEX(products!$A$1:$G$49,MATCH(orders!$D472,products!$A$1:$A$49,0),MATCH(orders!L$1,products!$A$1:$G$1,0))</f>
        <v>6.75</v>
      </c>
      <c r="M472">
        <f>L472*E472</f>
        <v>6.75</v>
      </c>
      <c r="N472" t="str">
        <f>IF(I472="Rob","Robusta",IF(I472="Exc","Excelsa",IF(I472="Ara","Arabica",IF(I472="Lib","Liberica",""))))</f>
        <v>Arabica</v>
      </c>
      <c r="O472" t="str">
        <f t="shared" si="7"/>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f>_xlfn.XLOOKUP(C473,customers!$A$1:$A$1001,customers!$C$1:$C$1001,,0)</f>
        <v>0</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9">
        <f>INDEX(products!$A$1:$G$49,MATCH(orders!$D473,products!$A$1:$A$49,0),MATCH(orders!K$1,products!$A$1:$G$1,0))</f>
        <v>2.5</v>
      </c>
      <c r="L473" s="5">
        <f>INDEX(products!$A$1:$G$49,MATCH(orders!$D473,products!$A$1:$A$49,0),MATCH(orders!L$1,products!$A$1:$G$1,0))</f>
        <v>33.464999999999996</v>
      </c>
      <c r="M473">
        <f>L473*E473</f>
        <v>133.85999999999999</v>
      </c>
      <c r="N473" t="str">
        <f>IF(I473="Rob","Robusta",IF(I473="Exc","Excelsa",IF(I473="Ara","Arabica",IF(I473="Lib","Liberica",""))))</f>
        <v>Liberica</v>
      </c>
      <c r="O473" t="str">
        <f t="shared" si="7"/>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9">
        <f>INDEX(products!$A$1:$G$49,MATCH(orders!$D474,products!$A$1:$A$49,0),MATCH(orders!K$1,products!$A$1:$G$1,0))</f>
        <v>0.2</v>
      </c>
      <c r="L474" s="5">
        <f>INDEX(products!$A$1:$G$49,MATCH(orders!$D474,products!$A$1:$A$49,0),MATCH(orders!L$1,products!$A$1:$G$1,0))</f>
        <v>2.9849999999999999</v>
      </c>
      <c r="M474">
        <f>L474*E474</f>
        <v>5.97</v>
      </c>
      <c r="N474" t="str">
        <f>IF(I474="Rob","Robusta",IF(I474="Exc","Excelsa",IF(I474="Ara","Arabica",IF(I474="Lib","Liberica",""))))</f>
        <v>Arabica</v>
      </c>
      <c r="O474" t="str">
        <f t="shared" si="7"/>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9">
        <f>INDEX(products!$A$1:$G$49,MATCH(orders!$D475,products!$A$1:$A$49,0),MATCH(orders!K$1,products!$A$1:$G$1,0))</f>
        <v>1</v>
      </c>
      <c r="L475" s="5">
        <f>INDEX(products!$A$1:$G$49,MATCH(orders!$D475,products!$A$1:$A$49,0),MATCH(orders!L$1,products!$A$1:$G$1,0))</f>
        <v>12.95</v>
      </c>
      <c r="M475">
        <f>L475*E475</f>
        <v>25.9</v>
      </c>
      <c r="N475" t="str">
        <f>IF(I475="Rob","Robusta",IF(I475="Exc","Excelsa",IF(I475="Ara","Arabica",IF(I475="Lib","Liberica",""))))</f>
        <v>Arabica</v>
      </c>
      <c r="O475" t="str">
        <f t="shared" si="7"/>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9">
        <f>INDEX(products!$A$1:$G$49,MATCH(orders!$D476,products!$A$1:$A$49,0),MATCH(orders!K$1,products!$A$1:$G$1,0))</f>
        <v>2.5</v>
      </c>
      <c r="L476" s="5">
        <f>INDEX(products!$A$1:$G$49,MATCH(orders!$D476,products!$A$1:$A$49,0),MATCH(orders!L$1,products!$A$1:$G$1,0))</f>
        <v>31.624999999999996</v>
      </c>
      <c r="M476">
        <f>L476*E476</f>
        <v>31.624999999999996</v>
      </c>
      <c r="N476" t="str">
        <f>IF(I476="Rob","Robusta",IF(I476="Exc","Excelsa",IF(I476="Ara","Arabica",IF(I476="Lib","Liberica",""))))</f>
        <v>Excelsa</v>
      </c>
      <c r="O476" t="str">
        <f t="shared" si="7"/>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9">
        <f>INDEX(products!$A$1:$G$49,MATCH(orders!$D477,products!$A$1:$A$49,0),MATCH(orders!K$1,products!$A$1:$G$1,0))</f>
        <v>0.2</v>
      </c>
      <c r="L477" s="5">
        <f>INDEX(products!$A$1:$G$49,MATCH(orders!$D477,products!$A$1:$A$49,0),MATCH(orders!L$1,products!$A$1:$G$1,0))</f>
        <v>4.3650000000000002</v>
      </c>
      <c r="M477">
        <f>L477*E477</f>
        <v>8.73</v>
      </c>
      <c r="N477" t="str">
        <f>IF(I477="Rob","Robusta",IF(I477="Exc","Excelsa",IF(I477="Ara","Arabica",IF(I477="Lib","Liberica",""))))</f>
        <v>Liberica</v>
      </c>
      <c r="O477" t="str">
        <f t="shared" si="7"/>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9">
        <f>INDEX(products!$A$1:$G$49,MATCH(orders!$D478,products!$A$1:$A$49,0),MATCH(orders!K$1,products!$A$1:$G$1,0))</f>
        <v>0.2</v>
      </c>
      <c r="L478" s="5">
        <f>INDEX(products!$A$1:$G$49,MATCH(orders!$D478,products!$A$1:$A$49,0),MATCH(orders!L$1,products!$A$1:$G$1,0))</f>
        <v>4.4550000000000001</v>
      </c>
      <c r="M478">
        <f>L478*E478</f>
        <v>26.73</v>
      </c>
      <c r="N478" t="str">
        <f>IF(I478="Rob","Robusta",IF(I478="Exc","Excelsa",IF(I478="Ara","Arabica",IF(I478="Lib","Liberica",""))))</f>
        <v>Excelsa</v>
      </c>
      <c r="O478" t="str">
        <f t="shared" si="7"/>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9">
        <f>INDEX(products!$A$1:$G$49,MATCH(orders!$D479,products!$A$1:$A$49,0),MATCH(orders!K$1,products!$A$1:$G$1,0))</f>
        <v>0.2</v>
      </c>
      <c r="L479" s="5">
        <f>INDEX(products!$A$1:$G$49,MATCH(orders!$D479,products!$A$1:$A$49,0),MATCH(orders!L$1,products!$A$1:$G$1,0))</f>
        <v>4.3650000000000002</v>
      </c>
      <c r="M479">
        <f>L479*E479</f>
        <v>26.19</v>
      </c>
      <c r="N479" t="str">
        <f>IF(I479="Rob","Robusta",IF(I479="Exc","Excelsa",IF(I479="Ara","Arabica",IF(I479="Lib","Liberica",""))))</f>
        <v>Liberica</v>
      </c>
      <c r="O479" t="str">
        <f t="shared" si="7"/>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9">
        <f>INDEX(products!$A$1:$G$49,MATCH(orders!$D480,products!$A$1:$A$49,0),MATCH(orders!K$1,products!$A$1:$G$1,0))</f>
        <v>1</v>
      </c>
      <c r="L480" s="5">
        <f>INDEX(products!$A$1:$G$49,MATCH(orders!$D480,products!$A$1:$A$49,0),MATCH(orders!L$1,products!$A$1:$G$1,0))</f>
        <v>8.9499999999999993</v>
      </c>
      <c r="M480">
        <f>L480*E480</f>
        <v>53.699999999999996</v>
      </c>
      <c r="N480" t="str">
        <f>IF(I480="Rob","Robusta",IF(I480="Exc","Excelsa",IF(I480="Ara","Arabica",IF(I480="Lib","Liberica",""))))</f>
        <v>Robusta</v>
      </c>
      <c r="O480" t="str">
        <f t="shared" si="7"/>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9">
        <f>INDEX(products!$A$1:$G$49,MATCH(orders!$D481,products!$A$1:$A$49,0),MATCH(orders!K$1,products!$A$1:$G$1,0))</f>
        <v>2.5</v>
      </c>
      <c r="L481" s="5">
        <f>INDEX(products!$A$1:$G$49,MATCH(orders!$D481,products!$A$1:$A$49,0),MATCH(orders!L$1,products!$A$1:$G$1,0))</f>
        <v>31.624999999999996</v>
      </c>
      <c r="M481">
        <f>L481*E481</f>
        <v>126.49999999999999</v>
      </c>
      <c r="N481" t="str">
        <f>IF(I481="Rob","Robusta",IF(I481="Exc","Excelsa",IF(I481="Ara","Arabica",IF(I481="Lib","Liberica",""))))</f>
        <v>Excelsa</v>
      </c>
      <c r="O481" t="str">
        <f t="shared" si="7"/>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9">
        <f>INDEX(products!$A$1:$G$49,MATCH(orders!$D482,products!$A$1:$A$49,0),MATCH(orders!K$1,products!$A$1:$G$1,0))</f>
        <v>0.2</v>
      </c>
      <c r="L482" s="5">
        <f>INDEX(products!$A$1:$G$49,MATCH(orders!$D482,products!$A$1:$A$49,0),MATCH(orders!L$1,products!$A$1:$G$1,0))</f>
        <v>4.125</v>
      </c>
      <c r="M482">
        <f>L482*E482</f>
        <v>4.125</v>
      </c>
      <c r="N482" t="str">
        <f>IF(I482="Rob","Robusta",IF(I482="Exc","Excelsa",IF(I482="Ara","Arabica",IF(I482="Lib","Liberica",""))))</f>
        <v>Excelsa</v>
      </c>
      <c r="O482" t="str">
        <f t="shared" si="7"/>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9">
        <f>INDEX(products!$A$1:$G$49,MATCH(orders!$D483,products!$A$1:$A$49,0),MATCH(orders!K$1,products!$A$1:$G$1,0))</f>
        <v>1</v>
      </c>
      <c r="L483" s="5">
        <f>INDEX(products!$A$1:$G$49,MATCH(orders!$D483,products!$A$1:$A$49,0),MATCH(orders!L$1,products!$A$1:$G$1,0))</f>
        <v>11.95</v>
      </c>
      <c r="M483">
        <f>L483*E483</f>
        <v>23.9</v>
      </c>
      <c r="N483" t="str">
        <f>IF(I483="Rob","Robusta",IF(I483="Exc","Excelsa",IF(I483="Ara","Arabica",IF(I483="Lib","Liberica",""))))</f>
        <v>Robusta</v>
      </c>
      <c r="O483" t="str">
        <f t="shared" si="7"/>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9">
        <f>INDEX(products!$A$1:$G$49,MATCH(orders!$D484,products!$A$1:$A$49,0),MATCH(orders!K$1,products!$A$1:$G$1,0))</f>
        <v>2.5</v>
      </c>
      <c r="L484" s="5">
        <f>INDEX(products!$A$1:$G$49,MATCH(orders!$D484,products!$A$1:$A$49,0),MATCH(orders!L$1,products!$A$1:$G$1,0))</f>
        <v>27.945</v>
      </c>
      <c r="M484">
        <f>L484*E484</f>
        <v>139.72499999999999</v>
      </c>
      <c r="N484" t="str">
        <f>IF(I484="Rob","Robusta",IF(I484="Exc","Excelsa",IF(I484="Ara","Arabica",IF(I484="Lib","Liberica",""))))</f>
        <v>Excelsa</v>
      </c>
      <c r="O484" t="str">
        <f t="shared" si="7"/>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f>_xlfn.XLOOKUP(C485,customers!$A$1:$A$1001,customers!$C$1:$C$1001,,0)</f>
        <v>0</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9">
        <f>INDEX(products!$A$1:$G$49,MATCH(orders!$D485,products!$A$1:$A$49,0),MATCH(orders!K$1,products!$A$1:$G$1,0))</f>
        <v>2.5</v>
      </c>
      <c r="L485" s="5">
        <f>INDEX(products!$A$1:$G$49,MATCH(orders!$D485,products!$A$1:$A$49,0),MATCH(orders!L$1,products!$A$1:$G$1,0))</f>
        <v>29.784999999999997</v>
      </c>
      <c r="M485">
        <f>L485*E485</f>
        <v>59.569999999999993</v>
      </c>
      <c r="N485" t="str">
        <f>IF(I485="Rob","Robusta",IF(I485="Exc","Excelsa",IF(I485="Ara","Arabica",IF(I485="Lib","Liberica",""))))</f>
        <v>Liberica</v>
      </c>
      <c r="O485" t="str">
        <f t="shared" si="7"/>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9">
        <f>INDEX(products!$A$1:$G$49,MATCH(orders!$D486,products!$A$1:$A$49,0),MATCH(orders!K$1,products!$A$1:$G$1,0))</f>
        <v>0.5</v>
      </c>
      <c r="L486" s="5">
        <f>INDEX(products!$A$1:$G$49,MATCH(orders!$D486,products!$A$1:$A$49,0),MATCH(orders!L$1,products!$A$1:$G$1,0))</f>
        <v>9.51</v>
      </c>
      <c r="M486">
        <f>L486*E486</f>
        <v>57.06</v>
      </c>
      <c r="N486" t="str">
        <f>IF(I486="Rob","Robusta",IF(I486="Exc","Excelsa",IF(I486="Ara","Arabica",IF(I486="Lib","Liberica",""))))</f>
        <v>Liberica</v>
      </c>
      <c r="O486" t="str">
        <f t="shared" si="7"/>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9">
        <f>INDEX(products!$A$1:$G$49,MATCH(orders!$D487,products!$A$1:$A$49,0),MATCH(orders!K$1,products!$A$1:$G$1,0))</f>
        <v>0.2</v>
      </c>
      <c r="L487" s="5">
        <f>INDEX(products!$A$1:$G$49,MATCH(orders!$D487,products!$A$1:$A$49,0),MATCH(orders!L$1,products!$A$1:$G$1,0))</f>
        <v>3.5849999999999995</v>
      </c>
      <c r="M487">
        <f>L487*E487</f>
        <v>21.509999999999998</v>
      </c>
      <c r="N487" t="str">
        <f>IF(I487="Rob","Robusta",IF(I487="Exc","Excelsa",IF(I487="Ara","Arabica",IF(I487="Lib","Liberica",""))))</f>
        <v>Robusta</v>
      </c>
      <c r="O487" t="str">
        <f t="shared" si="7"/>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9">
        <f>INDEX(products!$A$1:$G$49,MATCH(orders!$D488,products!$A$1:$A$49,0),MATCH(orders!K$1,products!$A$1:$G$1,0))</f>
        <v>0.5</v>
      </c>
      <c r="L488" s="5">
        <f>INDEX(products!$A$1:$G$49,MATCH(orders!$D488,products!$A$1:$A$49,0),MATCH(orders!L$1,products!$A$1:$G$1,0))</f>
        <v>8.73</v>
      </c>
      <c r="M488">
        <f>L488*E488</f>
        <v>52.38</v>
      </c>
      <c r="N488" t="str">
        <f>IF(I488="Rob","Robusta",IF(I488="Exc","Excelsa",IF(I488="Ara","Arabica",IF(I488="Lib","Liberica",""))))</f>
        <v>Liberica</v>
      </c>
      <c r="O488" t="str">
        <f t="shared" si="7"/>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9">
        <f>INDEX(products!$A$1:$G$49,MATCH(orders!$D489,products!$A$1:$A$49,0),MATCH(orders!K$1,products!$A$1:$G$1,0))</f>
        <v>1</v>
      </c>
      <c r="L489" s="5">
        <f>INDEX(products!$A$1:$G$49,MATCH(orders!$D489,products!$A$1:$A$49,0),MATCH(orders!L$1,products!$A$1:$G$1,0))</f>
        <v>12.15</v>
      </c>
      <c r="M489">
        <f>L489*E489</f>
        <v>72.900000000000006</v>
      </c>
      <c r="N489" t="str">
        <f>IF(I489="Rob","Robusta",IF(I489="Exc","Excelsa",IF(I489="Ara","Arabica",IF(I489="Lib","Liberica",""))))</f>
        <v>Excelsa</v>
      </c>
      <c r="O489" t="str">
        <f t="shared" si="7"/>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9">
        <f>INDEX(products!$A$1:$G$49,MATCH(orders!$D490,products!$A$1:$A$49,0),MATCH(orders!K$1,products!$A$1:$G$1,0))</f>
        <v>0.2</v>
      </c>
      <c r="L490" s="5">
        <f>INDEX(products!$A$1:$G$49,MATCH(orders!$D490,products!$A$1:$A$49,0),MATCH(orders!L$1,products!$A$1:$G$1,0))</f>
        <v>2.9849999999999999</v>
      </c>
      <c r="M490">
        <f>L490*E490</f>
        <v>14.924999999999999</v>
      </c>
      <c r="N490" t="str">
        <f>IF(I490="Rob","Robusta",IF(I490="Exc","Excelsa",IF(I490="Ara","Arabica",IF(I490="Lib","Liberica",""))))</f>
        <v>Robusta</v>
      </c>
      <c r="O490" t="str">
        <f t="shared" si="7"/>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9">
        <f>INDEX(products!$A$1:$G$49,MATCH(orders!$D491,products!$A$1:$A$49,0),MATCH(orders!K$1,products!$A$1:$G$1,0))</f>
        <v>1</v>
      </c>
      <c r="L491" s="5">
        <f>INDEX(products!$A$1:$G$49,MATCH(orders!$D491,products!$A$1:$A$49,0),MATCH(orders!L$1,products!$A$1:$G$1,0))</f>
        <v>15.85</v>
      </c>
      <c r="M491">
        <f>L491*E491</f>
        <v>95.1</v>
      </c>
      <c r="N491" t="str">
        <f>IF(I491="Rob","Robusta",IF(I491="Exc","Excelsa",IF(I491="Ara","Arabica",IF(I491="Lib","Liberica",""))))</f>
        <v>Liberica</v>
      </c>
      <c r="O491" t="str">
        <f t="shared" si="7"/>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9">
        <f>INDEX(products!$A$1:$G$49,MATCH(orders!$D492,products!$A$1:$A$49,0),MATCH(orders!K$1,products!$A$1:$G$1,0))</f>
        <v>0.5</v>
      </c>
      <c r="L492" s="5">
        <f>INDEX(products!$A$1:$G$49,MATCH(orders!$D492,products!$A$1:$A$49,0),MATCH(orders!L$1,products!$A$1:$G$1,0))</f>
        <v>7.77</v>
      </c>
      <c r="M492">
        <f>L492*E492</f>
        <v>15.54</v>
      </c>
      <c r="N492" t="str">
        <f>IF(I492="Rob","Robusta",IF(I492="Exc","Excelsa",IF(I492="Ara","Arabica",IF(I492="Lib","Liberica",""))))</f>
        <v>Liberica</v>
      </c>
      <c r="O492" t="str">
        <f t="shared" si="7"/>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f>_xlfn.XLOOKUP(C493,customers!$A$1:$A$1001,customers!$C$1:$C$1001,,0)</f>
        <v>0</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9">
        <f>INDEX(products!$A$1:$G$49,MATCH(orders!$D493,products!$A$1:$A$49,0),MATCH(orders!K$1,products!$A$1:$G$1,0))</f>
        <v>0.2</v>
      </c>
      <c r="L493" s="5">
        <f>INDEX(products!$A$1:$G$49,MATCH(orders!$D493,products!$A$1:$A$49,0),MATCH(orders!L$1,products!$A$1:$G$1,0))</f>
        <v>3.8849999999999998</v>
      </c>
      <c r="M493">
        <f>L493*E493</f>
        <v>23.31</v>
      </c>
      <c r="N493" t="str">
        <f>IF(I493="Rob","Robusta",IF(I493="Exc","Excelsa",IF(I493="Ara","Arabica",IF(I493="Lib","Liberica",""))))</f>
        <v>Liberica</v>
      </c>
      <c r="O493" t="str">
        <f t="shared" si="7"/>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9">
        <f>INDEX(products!$A$1:$G$49,MATCH(orders!$D494,products!$A$1:$A$49,0),MATCH(orders!K$1,products!$A$1:$G$1,0))</f>
        <v>0.2</v>
      </c>
      <c r="L494" s="5">
        <f>INDEX(products!$A$1:$G$49,MATCH(orders!$D494,products!$A$1:$A$49,0),MATCH(orders!L$1,products!$A$1:$G$1,0))</f>
        <v>4.125</v>
      </c>
      <c r="M494">
        <f>L494*E494</f>
        <v>4.125</v>
      </c>
      <c r="N494" t="str">
        <f>IF(I494="Rob","Robusta",IF(I494="Exc","Excelsa",IF(I494="Ara","Arabica",IF(I494="Lib","Liberica",""))))</f>
        <v>Excelsa</v>
      </c>
      <c r="O494" t="str">
        <f t="shared" si="7"/>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9">
        <f>INDEX(products!$A$1:$G$49,MATCH(orders!$D495,products!$A$1:$A$49,0),MATCH(orders!K$1,products!$A$1:$G$1,0))</f>
        <v>0.5</v>
      </c>
      <c r="L495" s="5">
        <f>INDEX(products!$A$1:$G$49,MATCH(orders!$D495,products!$A$1:$A$49,0),MATCH(orders!L$1,products!$A$1:$G$1,0))</f>
        <v>5.97</v>
      </c>
      <c r="M495">
        <f>L495*E495</f>
        <v>35.82</v>
      </c>
      <c r="N495" t="str">
        <f>IF(I495="Rob","Robusta",IF(I495="Exc","Excelsa",IF(I495="Ara","Arabica",IF(I495="Lib","Liberica",""))))</f>
        <v>Robusta</v>
      </c>
      <c r="O495" t="str">
        <f t="shared" si="7"/>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9">
        <f>INDEX(products!$A$1:$G$49,MATCH(orders!$D496,products!$A$1:$A$49,0),MATCH(orders!K$1,products!$A$1:$G$1,0))</f>
        <v>1</v>
      </c>
      <c r="L496" s="5">
        <f>INDEX(products!$A$1:$G$49,MATCH(orders!$D496,products!$A$1:$A$49,0),MATCH(orders!L$1,products!$A$1:$G$1,0))</f>
        <v>15.85</v>
      </c>
      <c r="M496">
        <f>L496*E496</f>
        <v>31.7</v>
      </c>
      <c r="N496" t="str">
        <f>IF(I496="Rob","Robusta",IF(I496="Exc","Excelsa",IF(I496="Ara","Arabica",IF(I496="Lib","Liberica",""))))</f>
        <v>Liberica</v>
      </c>
      <c r="O496" t="str">
        <f t="shared" si="7"/>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f>_xlfn.XLOOKUP(C497,customers!$A$1:$A$1001,customers!$C$1:$C$1001,,0)</f>
        <v>0</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9">
        <f>INDEX(products!$A$1:$G$49,MATCH(orders!$D497,products!$A$1:$A$49,0),MATCH(orders!K$1,products!$A$1:$G$1,0))</f>
        <v>1</v>
      </c>
      <c r="L497" s="5">
        <f>INDEX(products!$A$1:$G$49,MATCH(orders!$D497,products!$A$1:$A$49,0),MATCH(orders!L$1,products!$A$1:$G$1,0))</f>
        <v>15.85</v>
      </c>
      <c r="M497">
        <f>L497*E497</f>
        <v>79.25</v>
      </c>
      <c r="N497" t="str">
        <f>IF(I497="Rob","Robusta",IF(I497="Exc","Excelsa",IF(I497="Ara","Arabica",IF(I497="Lib","Liberica",""))))</f>
        <v>Liberica</v>
      </c>
      <c r="O497" t="str">
        <f t="shared" si="7"/>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9">
        <f>INDEX(products!$A$1:$G$49,MATCH(orders!$D498,products!$A$1:$A$49,0),MATCH(orders!K$1,products!$A$1:$G$1,0))</f>
        <v>0.2</v>
      </c>
      <c r="L498" s="5">
        <f>INDEX(products!$A$1:$G$49,MATCH(orders!$D498,products!$A$1:$A$49,0),MATCH(orders!L$1,products!$A$1:$G$1,0))</f>
        <v>3.645</v>
      </c>
      <c r="M498">
        <f>L498*E498</f>
        <v>10.935</v>
      </c>
      <c r="N498" t="str">
        <f>IF(I498="Rob","Robusta",IF(I498="Exc","Excelsa",IF(I498="Ara","Arabica",IF(I498="Lib","Liberica",""))))</f>
        <v>Excelsa</v>
      </c>
      <c r="O498" t="str">
        <f t="shared" si="7"/>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9">
        <f>INDEX(products!$A$1:$G$49,MATCH(orders!$D499,products!$A$1:$A$49,0),MATCH(orders!K$1,products!$A$1:$G$1,0))</f>
        <v>1</v>
      </c>
      <c r="L499" s="5">
        <f>INDEX(products!$A$1:$G$49,MATCH(orders!$D499,products!$A$1:$A$49,0),MATCH(orders!L$1,products!$A$1:$G$1,0))</f>
        <v>9.9499999999999993</v>
      </c>
      <c r="M499">
        <f>L499*E499</f>
        <v>39.799999999999997</v>
      </c>
      <c r="N499" t="str">
        <f>IF(I499="Rob","Robusta",IF(I499="Exc","Excelsa",IF(I499="Ara","Arabica",IF(I499="Lib","Liberica",""))))</f>
        <v>Arabica</v>
      </c>
      <c r="O499" t="str">
        <f t="shared" si="7"/>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9">
        <f>INDEX(products!$A$1:$G$49,MATCH(orders!$D500,products!$A$1:$A$49,0),MATCH(orders!K$1,products!$A$1:$G$1,0))</f>
        <v>1</v>
      </c>
      <c r="L500" s="5">
        <f>INDEX(products!$A$1:$G$49,MATCH(orders!$D500,products!$A$1:$A$49,0),MATCH(orders!L$1,products!$A$1:$G$1,0))</f>
        <v>9.9499999999999993</v>
      </c>
      <c r="M500">
        <f>L500*E500</f>
        <v>49.75</v>
      </c>
      <c r="N500" t="str">
        <f>IF(I500="Rob","Robusta",IF(I500="Exc","Excelsa",IF(I500="Ara","Arabica",IF(I500="Lib","Liberica",""))))</f>
        <v>Robusta</v>
      </c>
      <c r="O500" t="str">
        <f t="shared" si="7"/>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f>_xlfn.XLOOKUP(C501,customers!$A$1:$A$1001,customers!$C$1:$C$1001,,0)</f>
        <v>0</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9">
        <f>INDEX(products!$A$1:$G$49,MATCH(orders!$D501,products!$A$1:$A$49,0),MATCH(orders!K$1,products!$A$1:$G$1,0))</f>
        <v>0.2</v>
      </c>
      <c r="L501" s="5">
        <f>INDEX(products!$A$1:$G$49,MATCH(orders!$D501,products!$A$1:$A$49,0),MATCH(orders!L$1,products!$A$1:$G$1,0))</f>
        <v>2.6849999999999996</v>
      </c>
      <c r="M501">
        <f>L501*E501</f>
        <v>8.0549999999999997</v>
      </c>
      <c r="N501" t="str">
        <f>IF(I501="Rob","Robusta",IF(I501="Exc","Excelsa",IF(I501="Ara","Arabica",IF(I501="Lib","Liberica",""))))</f>
        <v>Robusta</v>
      </c>
      <c r="O501" t="str">
        <f t="shared" si="7"/>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f>_xlfn.XLOOKUP(C502,customers!$A$1:$A$1001,customers!$C$1:$C$1001,,0)</f>
        <v>0</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9">
        <f>INDEX(products!$A$1:$G$49,MATCH(orders!$D502,products!$A$1:$A$49,0),MATCH(orders!K$1,products!$A$1:$G$1,0))</f>
        <v>1</v>
      </c>
      <c r="L502" s="5">
        <f>INDEX(products!$A$1:$G$49,MATCH(orders!$D502,products!$A$1:$A$49,0),MATCH(orders!L$1,products!$A$1:$G$1,0))</f>
        <v>11.95</v>
      </c>
      <c r="M502">
        <f>L502*E502</f>
        <v>47.8</v>
      </c>
      <c r="N502" t="str">
        <f>IF(I502="Rob","Robusta",IF(I502="Exc","Excelsa",IF(I502="Ara","Arabica",IF(I502="Lib","Liberica",""))))</f>
        <v>Robusta</v>
      </c>
      <c r="O502" t="str">
        <f t="shared" si="7"/>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9">
        <f>INDEX(products!$A$1:$G$49,MATCH(orders!$D503,products!$A$1:$A$49,0),MATCH(orders!K$1,products!$A$1:$G$1,0))</f>
        <v>0.2</v>
      </c>
      <c r="L503" s="5">
        <f>INDEX(products!$A$1:$G$49,MATCH(orders!$D503,products!$A$1:$A$49,0),MATCH(orders!L$1,products!$A$1:$G$1,0))</f>
        <v>2.9849999999999999</v>
      </c>
      <c r="M503">
        <f>L503*E503</f>
        <v>11.94</v>
      </c>
      <c r="N503" t="str">
        <f>IF(I503="Rob","Robusta",IF(I503="Exc","Excelsa",IF(I503="Ara","Arabica",IF(I503="Lib","Liberica",""))))</f>
        <v>Robusta</v>
      </c>
      <c r="O503" t="str">
        <f t="shared" si="7"/>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9">
        <f>INDEX(products!$A$1:$G$49,MATCH(orders!$D504,products!$A$1:$A$49,0),MATCH(orders!K$1,products!$A$1:$G$1,0))</f>
        <v>0.2</v>
      </c>
      <c r="L504" s="5">
        <f>INDEX(products!$A$1:$G$49,MATCH(orders!$D504,products!$A$1:$A$49,0),MATCH(orders!L$1,products!$A$1:$G$1,0))</f>
        <v>4.125</v>
      </c>
      <c r="M504">
        <f>L504*E504</f>
        <v>16.5</v>
      </c>
      <c r="N504" t="str">
        <f>IF(I504="Rob","Robusta",IF(I504="Exc","Excelsa",IF(I504="Ara","Arabica",IF(I504="Lib","Liberica",""))))</f>
        <v>Excelsa</v>
      </c>
      <c r="O504" t="str">
        <f t="shared" si="7"/>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9">
        <f>INDEX(products!$A$1:$G$49,MATCH(orders!$D505,products!$A$1:$A$49,0),MATCH(orders!K$1,products!$A$1:$G$1,0))</f>
        <v>1</v>
      </c>
      <c r="L505" s="5">
        <f>INDEX(products!$A$1:$G$49,MATCH(orders!$D505,products!$A$1:$A$49,0),MATCH(orders!L$1,products!$A$1:$G$1,0))</f>
        <v>12.95</v>
      </c>
      <c r="M505">
        <f>L505*E505</f>
        <v>51.8</v>
      </c>
      <c r="N505" t="str">
        <f>IF(I505="Rob","Robusta",IF(I505="Exc","Excelsa",IF(I505="Ara","Arabica",IF(I505="Lib","Liberica",""))))</f>
        <v>Liberica</v>
      </c>
      <c r="O505" t="str">
        <f t="shared" si="7"/>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9">
        <f>INDEX(products!$A$1:$G$49,MATCH(orders!$D506,products!$A$1:$A$49,0),MATCH(orders!K$1,products!$A$1:$G$1,0))</f>
        <v>0.2</v>
      </c>
      <c r="L506" s="5">
        <f>INDEX(products!$A$1:$G$49,MATCH(orders!$D506,products!$A$1:$A$49,0),MATCH(orders!L$1,products!$A$1:$G$1,0))</f>
        <v>4.7549999999999999</v>
      </c>
      <c r="M506">
        <f>L506*E506</f>
        <v>14.265000000000001</v>
      </c>
      <c r="N506" t="str">
        <f>IF(I506="Rob","Robusta",IF(I506="Exc","Excelsa",IF(I506="Ara","Arabica",IF(I506="Lib","Liberica",""))))</f>
        <v>Liberica</v>
      </c>
      <c r="O506" t="str">
        <f t="shared" si="7"/>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9">
        <f>INDEX(products!$A$1:$G$49,MATCH(orders!$D507,products!$A$1:$A$49,0),MATCH(orders!K$1,products!$A$1:$G$1,0))</f>
        <v>0.2</v>
      </c>
      <c r="L507" s="5">
        <f>INDEX(products!$A$1:$G$49,MATCH(orders!$D507,products!$A$1:$A$49,0),MATCH(orders!L$1,products!$A$1:$G$1,0))</f>
        <v>4.3650000000000002</v>
      </c>
      <c r="M507">
        <f>L507*E507</f>
        <v>26.19</v>
      </c>
      <c r="N507" t="str">
        <f>IF(I507="Rob","Robusta",IF(I507="Exc","Excelsa",IF(I507="Ara","Arabica",IF(I507="Lib","Liberica",""))))</f>
        <v>Liberica</v>
      </c>
      <c r="O507" t="str">
        <f t="shared" si="7"/>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9">
        <f>INDEX(products!$A$1:$G$49,MATCH(orders!$D508,products!$A$1:$A$49,0),MATCH(orders!K$1,products!$A$1:$G$1,0))</f>
        <v>1</v>
      </c>
      <c r="L508" s="5">
        <f>INDEX(products!$A$1:$G$49,MATCH(orders!$D508,products!$A$1:$A$49,0),MATCH(orders!L$1,products!$A$1:$G$1,0))</f>
        <v>12.95</v>
      </c>
      <c r="M508">
        <f>L508*E508</f>
        <v>25.9</v>
      </c>
      <c r="N508" t="str">
        <f>IF(I508="Rob","Robusta",IF(I508="Exc","Excelsa",IF(I508="Ara","Arabica",IF(I508="Lib","Liberica",""))))</f>
        <v>Arabica</v>
      </c>
      <c r="O508" t="str">
        <f t="shared" si="7"/>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9">
        <f>INDEX(products!$A$1:$G$49,MATCH(orders!$D509,products!$A$1:$A$49,0),MATCH(orders!K$1,products!$A$1:$G$1,0))</f>
        <v>2.5</v>
      </c>
      <c r="L509" s="5">
        <f>INDEX(products!$A$1:$G$49,MATCH(orders!$D509,products!$A$1:$A$49,0),MATCH(orders!L$1,products!$A$1:$G$1,0))</f>
        <v>29.784999999999997</v>
      </c>
      <c r="M509">
        <f>L509*E509</f>
        <v>89.35499999999999</v>
      </c>
      <c r="N509" t="str">
        <f>IF(I509="Rob","Robusta",IF(I509="Exc","Excelsa",IF(I509="Ara","Arabica",IF(I509="Lib","Liberica",""))))</f>
        <v>Arabica</v>
      </c>
      <c r="O509" t="str">
        <f t="shared" si="7"/>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9">
        <f>INDEX(products!$A$1:$G$49,MATCH(orders!$D510,products!$A$1:$A$49,0),MATCH(orders!K$1,products!$A$1:$G$1,0))</f>
        <v>0.5</v>
      </c>
      <c r="L510" s="5">
        <f>INDEX(products!$A$1:$G$49,MATCH(orders!$D510,products!$A$1:$A$49,0),MATCH(orders!L$1,products!$A$1:$G$1,0))</f>
        <v>7.77</v>
      </c>
      <c r="M510">
        <f>L510*E510</f>
        <v>46.62</v>
      </c>
      <c r="N510" t="str">
        <f>IF(I510="Rob","Robusta",IF(I510="Exc","Excelsa",IF(I510="Ara","Arabica",IF(I510="Lib","Liberica",""))))</f>
        <v>Liberica</v>
      </c>
      <c r="O510" t="str">
        <f t="shared" si="7"/>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9">
        <f>INDEX(products!$A$1:$G$49,MATCH(orders!$D511,products!$A$1:$A$49,0),MATCH(orders!K$1,products!$A$1:$G$1,0))</f>
        <v>1</v>
      </c>
      <c r="L511" s="5">
        <f>INDEX(products!$A$1:$G$49,MATCH(orders!$D511,products!$A$1:$A$49,0),MATCH(orders!L$1,products!$A$1:$G$1,0))</f>
        <v>9.9499999999999993</v>
      </c>
      <c r="M511">
        <f>L511*E511</f>
        <v>29.849999999999998</v>
      </c>
      <c r="N511" t="str">
        <f>IF(I511="Rob","Robusta",IF(I511="Exc","Excelsa",IF(I511="Ara","Arabica",IF(I511="Lib","Liberica",""))))</f>
        <v>Arabica</v>
      </c>
      <c r="O511" t="str">
        <f t="shared" si="7"/>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9">
        <f>INDEX(products!$A$1:$G$49,MATCH(orders!$D512,products!$A$1:$A$49,0),MATCH(orders!K$1,products!$A$1:$G$1,0))</f>
        <v>0.2</v>
      </c>
      <c r="L512" s="5">
        <f>INDEX(products!$A$1:$G$49,MATCH(orders!$D512,products!$A$1:$A$49,0),MATCH(orders!L$1,products!$A$1:$G$1,0))</f>
        <v>3.5849999999999995</v>
      </c>
      <c r="M512">
        <f>L512*E512</f>
        <v>10.754999999999999</v>
      </c>
      <c r="N512" t="str">
        <f>IF(I512="Rob","Robusta",IF(I512="Exc","Excelsa",IF(I512="Ara","Arabica",IF(I512="Lib","Liberica",""))))</f>
        <v>Robusta</v>
      </c>
      <c r="O512" t="str">
        <f t="shared" si="7"/>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9">
        <f>INDEX(products!$A$1:$G$49,MATCH(orders!$D513,products!$A$1:$A$49,0),MATCH(orders!K$1,products!$A$1:$G$1,0))</f>
        <v>0.2</v>
      </c>
      <c r="L513" s="5">
        <f>INDEX(products!$A$1:$G$49,MATCH(orders!$D513,products!$A$1:$A$49,0),MATCH(orders!L$1,products!$A$1:$G$1,0))</f>
        <v>3.375</v>
      </c>
      <c r="M513">
        <f>L513*E513</f>
        <v>13.5</v>
      </c>
      <c r="N513" t="str">
        <f>IF(I513="Rob","Robusta",IF(I513="Exc","Excelsa",IF(I513="Ara","Arabica",IF(I513="Lib","Liberica",""))))</f>
        <v>Arabica</v>
      </c>
      <c r="O513" t="str">
        <f t="shared" si="7"/>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9">
        <f>INDEX(products!$A$1:$G$49,MATCH(orders!$D514,products!$A$1:$A$49,0),MATCH(orders!K$1,products!$A$1:$G$1,0))</f>
        <v>1</v>
      </c>
      <c r="L514" s="5">
        <f>INDEX(products!$A$1:$G$49,MATCH(orders!$D514,products!$A$1:$A$49,0),MATCH(orders!L$1,products!$A$1:$G$1,0))</f>
        <v>15.85</v>
      </c>
      <c r="M514">
        <f>L514*E514</f>
        <v>47.55</v>
      </c>
      <c r="N514" t="str">
        <f>IF(I514="Rob","Robusta",IF(I514="Exc","Excelsa",IF(I514="Ara","Arabica",IF(I514="Lib","Liberica",""))))</f>
        <v>Liberica</v>
      </c>
      <c r="O514" t="str">
        <f t="shared" si="7"/>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9">
        <f>INDEX(products!$A$1:$G$49,MATCH(orders!$D515,products!$A$1:$A$49,0),MATCH(orders!K$1,products!$A$1:$G$1,0))</f>
        <v>1</v>
      </c>
      <c r="L515" s="5">
        <f>INDEX(products!$A$1:$G$49,MATCH(orders!$D515,products!$A$1:$A$49,0),MATCH(orders!L$1,products!$A$1:$G$1,0))</f>
        <v>15.85</v>
      </c>
      <c r="M515">
        <f>L515*E515</f>
        <v>79.25</v>
      </c>
      <c r="N515" t="str">
        <f>IF(I515="Rob","Robusta",IF(I515="Exc","Excelsa",IF(I515="Ara","Arabica",IF(I515="Lib","Liberica",""))))</f>
        <v>Liberica</v>
      </c>
      <c r="O515" t="str">
        <f t="shared" ref="O515:O578" si="8">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9">
        <f>INDEX(products!$A$1:$G$49,MATCH(orders!$D516,products!$A$1:$A$49,0),MATCH(orders!K$1,products!$A$1:$G$1,0))</f>
        <v>0.2</v>
      </c>
      <c r="L516" s="5">
        <f>INDEX(products!$A$1:$G$49,MATCH(orders!$D516,products!$A$1:$A$49,0),MATCH(orders!L$1,products!$A$1:$G$1,0))</f>
        <v>4.3650000000000002</v>
      </c>
      <c r="M516">
        <f>L516*E516</f>
        <v>26.19</v>
      </c>
      <c r="N516" t="str">
        <f>IF(I516="Rob","Robusta",IF(I516="Exc","Excelsa",IF(I516="Ara","Arabica",IF(I516="Lib","Liberica",""))))</f>
        <v>Liberica</v>
      </c>
      <c r="O516" t="str">
        <f t="shared" si="8"/>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9">
        <f>INDEX(products!$A$1:$G$49,MATCH(orders!$D517,products!$A$1:$A$49,0),MATCH(orders!K$1,products!$A$1:$G$1,0))</f>
        <v>0.5</v>
      </c>
      <c r="L517" s="5">
        <f>INDEX(products!$A$1:$G$49,MATCH(orders!$D517,products!$A$1:$A$49,0),MATCH(orders!L$1,products!$A$1:$G$1,0))</f>
        <v>7.169999999999999</v>
      </c>
      <c r="M517">
        <f>L517*E517</f>
        <v>21.509999999999998</v>
      </c>
      <c r="N517" t="str">
        <f>IF(I517="Rob","Robusta",IF(I517="Exc","Excelsa",IF(I517="Ara","Arabica",IF(I517="Lib","Liberica",""))))</f>
        <v>Robusta</v>
      </c>
      <c r="O517" t="str">
        <f t="shared" si="8"/>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f>_xlfn.XLOOKUP(C518,customers!$A$1:$A$1001,customers!$C$1:$C$1001,,0)</f>
        <v>0</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9">
        <f>INDEX(products!$A$1:$G$49,MATCH(orders!$D518,products!$A$1:$A$49,0),MATCH(orders!K$1,products!$A$1:$G$1,0))</f>
        <v>2.5</v>
      </c>
      <c r="L518" s="5">
        <f>INDEX(products!$A$1:$G$49,MATCH(orders!$D518,products!$A$1:$A$49,0),MATCH(orders!L$1,products!$A$1:$G$1,0))</f>
        <v>20.584999999999997</v>
      </c>
      <c r="M518">
        <f>L518*E518</f>
        <v>102.92499999999998</v>
      </c>
      <c r="N518" t="str">
        <f>IF(I518="Rob","Robusta",IF(I518="Exc","Excelsa",IF(I518="Ara","Arabica",IF(I518="Lib","Liberica",""))))</f>
        <v>Robusta</v>
      </c>
      <c r="O518" t="str">
        <f t="shared" si="8"/>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f>_xlfn.XLOOKUP(C519,customers!$A$1:$A$1001,customers!$C$1:$C$1001,,0)</f>
        <v>0</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9">
        <f>INDEX(products!$A$1:$G$49,MATCH(orders!$D519,products!$A$1:$A$49,0),MATCH(orders!K$1,products!$A$1:$G$1,0))</f>
        <v>0.2</v>
      </c>
      <c r="L519" s="5">
        <f>INDEX(products!$A$1:$G$49,MATCH(orders!$D519,products!$A$1:$A$49,0),MATCH(orders!L$1,products!$A$1:$G$1,0))</f>
        <v>3.8849999999999998</v>
      </c>
      <c r="M519">
        <f>L519*E519</f>
        <v>7.77</v>
      </c>
      <c r="N519" t="str">
        <f>IF(I519="Rob","Robusta",IF(I519="Exc","Excelsa",IF(I519="Ara","Arabica",IF(I519="Lib","Liberica",""))))</f>
        <v>Liberica</v>
      </c>
      <c r="O519" t="str">
        <f t="shared" si="8"/>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9">
        <f>INDEX(products!$A$1:$G$49,MATCH(orders!$D520,products!$A$1:$A$49,0),MATCH(orders!K$1,products!$A$1:$G$1,0))</f>
        <v>2.5</v>
      </c>
      <c r="L520" s="5">
        <f>INDEX(products!$A$1:$G$49,MATCH(orders!$D520,products!$A$1:$A$49,0),MATCH(orders!L$1,products!$A$1:$G$1,0))</f>
        <v>27.945</v>
      </c>
      <c r="M520">
        <f>L520*E520</f>
        <v>139.72499999999999</v>
      </c>
      <c r="N520" t="str">
        <f>IF(I520="Rob","Robusta",IF(I520="Exc","Excelsa",IF(I520="Ara","Arabica",IF(I520="Lib","Liberica",""))))</f>
        <v>Excelsa</v>
      </c>
      <c r="O520" t="str">
        <f t="shared" si="8"/>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9">
        <f>INDEX(products!$A$1:$G$49,MATCH(orders!$D521,products!$A$1:$A$49,0),MATCH(orders!K$1,products!$A$1:$G$1,0))</f>
        <v>0.5</v>
      </c>
      <c r="L521" s="5">
        <f>INDEX(products!$A$1:$G$49,MATCH(orders!$D521,products!$A$1:$A$49,0),MATCH(orders!L$1,products!$A$1:$G$1,0))</f>
        <v>5.97</v>
      </c>
      <c r="M521">
        <f>L521*E521</f>
        <v>11.94</v>
      </c>
      <c r="N521" t="str">
        <f>IF(I521="Rob","Robusta",IF(I521="Exc","Excelsa",IF(I521="Ara","Arabica",IF(I521="Lib","Liberica",""))))</f>
        <v>Arabica</v>
      </c>
      <c r="O521" t="str">
        <f t="shared" si="8"/>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9">
        <f>INDEX(products!$A$1:$G$49,MATCH(orders!$D522,products!$A$1:$A$49,0),MATCH(orders!K$1,products!$A$1:$G$1,0))</f>
        <v>0.2</v>
      </c>
      <c r="L522" s="5">
        <f>INDEX(products!$A$1:$G$49,MATCH(orders!$D522,products!$A$1:$A$49,0),MATCH(orders!L$1,products!$A$1:$G$1,0))</f>
        <v>3.8849999999999998</v>
      </c>
      <c r="M522">
        <f>L522*E522</f>
        <v>3.8849999999999998</v>
      </c>
      <c r="N522" t="str">
        <f>IF(I522="Rob","Robusta",IF(I522="Exc","Excelsa",IF(I522="Ara","Arabica",IF(I522="Lib","Liberica",""))))</f>
        <v>Liberica</v>
      </c>
      <c r="O522" t="str">
        <f t="shared" si="8"/>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9">
        <f>INDEX(products!$A$1:$G$49,MATCH(orders!$D523,products!$A$1:$A$49,0),MATCH(orders!K$1,products!$A$1:$G$1,0))</f>
        <v>1</v>
      </c>
      <c r="L523" s="5">
        <f>INDEX(products!$A$1:$G$49,MATCH(orders!$D523,products!$A$1:$A$49,0),MATCH(orders!L$1,products!$A$1:$G$1,0))</f>
        <v>9.9499999999999993</v>
      </c>
      <c r="M523">
        <f>L523*E523</f>
        <v>39.799999999999997</v>
      </c>
      <c r="N523" t="str">
        <f>IF(I523="Rob","Robusta",IF(I523="Exc","Excelsa",IF(I523="Ara","Arabica",IF(I523="Lib","Liberica",""))))</f>
        <v>Robusta</v>
      </c>
      <c r="O523" t="str">
        <f t="shared" si="8"/>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9">
        <f>INDEX(products!$A$1:$G$49,MATCH(orders!$D524,products!$A$1:$A$49,0),MATCH(orders!K$1,products!$A$1:$G$1,0))</f>
        <v>0.5</v>
      </c>
      <c r="L524" s="5">
        <f>INDEX(products!$A$1:$G$49,MATCH(orders!$D524,products!$A$1:$A$49,0),MATCH(orders!L$1,products!$A$1:$G$1,0))</f>
        <v>5.97</v>
      </c>
      <c r="M524">
        <f>L524*E524</f>
        <v>29.849999999999998</v>
      </c>
      <c r="N524" t="str">
        <f>IF(I524="Rob","Robusta",IF(I524="Exc","Excelsa",IF(I524="Ara","Arabica",IF(I524="Lib","Liberica",""))))</f>
        <v>Robusta</v>
      </c>
      <c r="O524" t="str">
        <f t="shared" si="8"/>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9">
        <f>INDEX(products!$A$1:$G$49,MATCH(orders!$D525,products!$A$1:$A$49,0),MATCH(orders!K$1,products!$A$1:$G$1,0))</f>
        <v>2.5</v>
      </c>
      <c r="L525" s="5">
        <f>INDEX(products!$A$1:$G$49,MATCH(orders!$D525,products!$A$1:$A$49,0),MATCH(orders!L$1,products!$A$1:$G$1,0))</f>
        <v>29.784999999999997</v>
      </c>
      <c r="M525">
        <f>L525*E525</f>
        <v>29.784999999999997</v>
      </c>
      <c r="N525" t="str">
        <f>IF(I525="Rob","Robusta",IF(I525="Exc","Excelsa",IF(I525="Ara","Arabica",IF(I525="Lib","Liberica",""))))</f>
        <v>Liberica</v>
      </c>
      <c r="O525" t="str">
        <f t="shared" si="8"/>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f>_xlfn.XLOOKUP(C526,customers!$A$1:$A$1001,customers!$C$1:$C$1001,,0)</f>
        <v>0</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9">
        <f>INDEX(products!$A$1:$G$49,MATCH(orders!$D526,products!$A$1:$A$49,0),MATCH(orders!K$1,products!$A$1:$G$1,0))</f>
        <v>2.5</v>
      </c>
      <c r="L526" s="5">
        <f>INDEX(products!$A$1:$G$49,MATCH(orders!$D526,products!$A$1:$A$49,0),MATCH(orders!L$1,products!$A$1:$G$1,0))</f>
        <v>36.454999999999998</v>
      </c>
      <c r="M526">
        <f>L526*E526</f>
        <v>72.91</v>
      </c>
      <c r="N526" t="str">
        <f>IF(I526="Rob","Robusta",IF(I526="Exc","Excelsa",IF(I526="Ara","Arabica",IF(I526="Lib","Liberica",""))))</f>
        <v>Liberica</v>
      </c>
      <c r="O526" t="str">
        <f t="shared" si="8"/>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f>_xlfn.XLOOKUP(C527,customers!$A$1:$A$1001,customers!$C$1:$C$1001,,0)</f>
        <v>0</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9">
        <f>INDEX(products!$A$1:$G$49,MATCH(orders!$D527,products!$A$1:$A$49,0),MATCH(orders!K$1,products!$A$1:$G$1,0))</f>
        <v>0.2</v>
      </c>
      <c r="L527" s="5">
        <f>INDEX(products!$A$1:$G$49,MATCH(orders!$D527,products!$A$1:$A$49,0),MATCH(orders!L$1,products!$A$1:$G$1,0))</f>
        <v>2.6849999999999996</v>
      </c>
      <c r="M527">
        <f>L527*E527</f>
        <v>13.424999999999997</v>
      </c>
      <c r="N527" t="str">
        <f>IF(I527="Rob","Robusta",IF(I527="Exc","Excelsa",IF(I527="Ara","Arabica",IF(I527="Lib","Liberica",""))))</f>
        <v>Robusta</v>
      </c>
      <c r="O527" t="str">
        <f t="shared" si="8"/>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9">
        <f>INDEX(products!$A$1:$G$49,MATCH(orders!$D528,products!$A$1:$A$49,0),MATCH(orders!K$1,products!$A$1:$G$1,0))</f>
        <v>2.5</v>
      </c>
      <c r="L528" s="5">
        <f>INDEX(products!$A$1:$G$49,MATCH(orders!$D528,products!$A$1:$A$49,0),MATCH(orders!L$1,products!$A$1:$G$1,0))</f>
        <v>31.624999999999996</v>
      </c>
      <c r="M528">
        <f>L528*E528</f>
        <v>126.49999999999999</v>
      </c>
      <c r="N528" t="str">
        <f>IF(I528="Rob","Robusta",IF(I528="Exc","Excelsa",IF(I528="Ara","Arabica",IF(I528="Lib","Liberica",""))))</f>
        <v>Excelsa</v>
      </c>
      <c r="O528" t="str">
        <f t="shared" si="8"/>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9">
        <f>INDEX(products!$A$1:$G$49,MATCH(orders!$D529,products!$A$1:$A$49,0),MATCH(orders!K$1,products!$A$1:$G$1,0))</f>
        <v>0.5</v>
      </c>
      <c r="L529" s="5">
        <f>INDEX(products!$A$1:$G$49,MATCH(orders!$D529,products!$A$1:$A$49,0),MATCH(orders!L$1,products!$A$1:$G$1,0))</f>
        <v>8.25</v>
      </c>
      <c r="M529">
        <f>L529*E529</f>
        <v>41.25</v>
      </c>
      <c r="N529" t="str">
        <f>IF(I529="Rob","Robusta",IF(I529="Exc","Excelsa",IF(I529="Ara","Arabica",IF(I529="Lib","Liberica",""))))</f>
        <v>Excelsa</v>
      </c>
      <c r="O529" t="str">
        <f t="shared" si="8"/>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9">
        <f>INDEX(products!$A$1:$G$49,MATCH(orders!$D530,products!$A$1:$A$49,0),MATCH(orders!K$1,products!$A$1:$G$1,0))</f>
        <v>0.5</v>
      </c>
      <c r="L530" s="5">
        <f>INDEX(products!$A$1:$G$49,MATCH(orders!$D530,products!$A$1:$A$49,0),MATCH(orders!L$1,products!$A$1:$G$1,0))</f>
        <v>8.91</v>
      </c>
      <c r="M530">
        <f>L530*E530</f>
        <v>53.46</v>
      </c>
      <c r="N530" t="str">
        <f>IF(I530="Rob","Robusta",IF(I530="Exc","Excelsa",IF(I530="Ara","Arabica",IF(I530="Lib","Liberica",""))))</f>
        <v>Excelsa</v>
      </c>
      <c r="O530" t="str">
        <f t="shared" si="8"/>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9">
        <f>INDEX(products!$A$1:$G$49,MATCH(orders!$D531,products!$A$1:$A$49,0),MATCH(orders!K$1,products!$A$1:$G$1,0))</f>
        <v>1</v>
      </c>
      <c r="L531" s="5">
        <f>INDEX(products!$A$1:$G$49,MATCH(orders!$D531,products!$A$1:$A$49,0),MATCH(orders!L$1,products!$A$1:$G$1,0))</f>
        <v>9.9499999999999993</v>
      </c>
      <c r="M531">
        <f>L531*E531</f>
        <v>59.699999999999996</v>
      </c>
      <c r="N531" t="str">
        <f>IF(I531="Rob","Robusta",IF(I531="Exc","Excelsa",IF(I531="Ara","Arabica",IF(I531="Lib","Liberica",""))))</f>
        <v>Robusta</v>
      </c>
      <c r="O531" t="str">
        <f t="shared" si="8"/>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9">
        <f>INDEX(products!$A$1:$G$49,MATCH(orders!$D532,products!$A$1:$A$49,0),MATCH(orders!K$1,products!$A$1:$G$1,0))</f>
        <v>1</v>
      </c>
      <c r="L532" s="5">
        <f>INDEX(products!$A$1:$G$49,MATCH(orders!$D532,products!$A$1:$A$49,0),MATCH(orders!L$1,products!$A$1:$G$1,0))</f>
        <v>9.9499999999999993</v>
      </c>
      <c r="M532">
        <f>L532*E532</f>
        <v>59.699999999999996</v>
      </c>
      <c r="N532" t="str">
        <f>IF(I532="Rob","Robusta",IF(I532="Exc","Excelsa",IF(I532="Ara","Arabica",IF(I532="Lib","Liberica",""))))</f>
        <v>Robusta</v>
      </c>
      <c r="O532" t="str">
        <f t="shared" si="8"/>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9">
        <f>INDEX(products!$A$1:$G$49,MATCH(orders!$D533,products!$A$1:$A$49,0),MATCH(orders!K$1,products!$A$1:$G$1,0))</f>
        <v>1</v>
      </c>
      <c r="L533" s="5">
        <f>INDEX(products!$A$1:$G$49,MATCH(orders!$D533,products!$A$1:$A$49,0),MATCH(orders!L$1,products!$A$1:$G$1,0))</f>
        <v>8.9499999999999993</v>
      </c>
      <c r="M533">
        <f>L533*E533</f>
        <v>44.75</v>
      </c>
      <c r="N533" t="str">
        <f>IF(I533="Rob","Robusta",IF(I533="Exc","Excelsa",IF(I533="Ara","Arabica",IF(I533="Lib","Liberica",""))))</f>
        <v>Robusta</v>
      </c>
      <c r="O533" t="str">
        <f t="shared" si="8"/>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9">
        <f>INDEX(products!$A$1:$G$49,MATCH(orders!$D534,products!$A$1:$A$49,0),MATCH(orders!K$1,products!$A$1:$G$1,0))</f>
        <v>0.5</v>
      </c>
      <c r="L534" s="5">
        <f>INDEX(products!$A$1:$G$49,MATCH(orders!$D534,products!$A$1:$A$49,0),MATCH(orders!L$1,products!$A$1:$G$1,0))</f>
        <v>8.25</v>
      </c>
      <c r="M534">
        <f>L534*E534</f>
        <v>16.5</v>
      </c>
      <c r="N534" t="str">
        <f>IF(I534="Rob","Robusta",IF(I534="Exc","Excelsa",IF(I534="Ara","Arabica",IF(I534="Lib","Liberica",""))))</f>
        <v>Excelsa</v>
      </c>
      <c r="O534" t="str">
        <f t="shared" si="8"/>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f>_xlfn.XLOOKUP(C535,customers!$A$1:$A$1001,customers!$C$1:$C$1001,,0)</f>
        <v>0</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9">
        <f>INDEX(products!$A$1:$G$49,MATCH(orders!$D535,products!$A$1:$A$49,0),MATCH(orders!K$1,products!$A$1:$G$1,0))</f>
        <v>0.5</v>
      </c>
      <c r="L535" s="5">
        <f>INDEX(products!$A$1:$G$49,MATCH(orders!$D535,products!$A$1:$A$49,0),MATCH(orders!L$1,products!$A$1:$G$1,0))</f>
        <v>5.3699999999999992</v>
      </c>
      <c r="M535">
        <f>L535*E535</f>
        <v>21.479999999999997</v>
      </c>
      <c r="N535" t="str">
        <f>IF(I535="Rob","Robusta",IF(I535="Exc","Excelsa",IF(I535="Ara","Arabica",IF(I535="Lib","Liberica",""))))</f>
        <v>Robusta</v>
      </c>
      <c r="O535" t="str">
        <f t="shared" si="8"/>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9">
        <f>INDEX(products!$A$1:$G$49,MATCH(orders!$D536,products!$A$1:$A$49,0),MATCH(orders!K$1,products!$A$1:$G$1,0))</f>
        <v>2.5</v>
      </c>
      <c r="L536" s="5">
        <f>INDEX(products!$A$1:$G$49,MATCH(orders!$D536,products!$A$1:$A$49,0),MATCH(orders!L$1,products!$A$1:$G$1,0))</f>
        <v>22.884999999999998</v>
      </c>
      <c r="M536">
        <f>L536*E536</f>
        <v>45.769999999999996</v>
      </c>
      <c r="N536" t="str">
        <f>IF(I536="Rob","Robusta",IF(I536="Exc","Excelsa",IF(I536="Ara","Arabica",IF(I536="Lib","Liberica",""))))</f>
        <v>Robusta</v>
      </c>
      <c r="O536" t="str">
        <f t="shared" si="8"/>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f>_xlfn.XLOOKUP(C537,customers!$A$1:$A$1001,customers!$C$1:$C$1001,,0)</f>
        <v>0</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9">
        <f>INDEX(products!$A$1:$G$49,MATCH(orders!$D537,products!$A$1:$A$49,0),MATCH(orders!K$1,products!$A$1:$G$1,0))</f>
        <v>0.2</v>
      </c>
      <c r="L537" s="5">
        <f>INDEX(products!$A$1:$G$49,MATCH(orders!$D537,products!$A$1:$A$49,0),MATCH(orders!L$1,products!$A$1:$G$1,0))</f>
        <v>4.7549999999999999</v>
      </c>
      <c r="M537">
        <f>L537*E537</f>
        <v>9.51</v>
      </c>
      <c r="N537" t="str">
        <f>IF(I537="Rob","Robusta",IF(I537="Exc","Excelsa",IF(I537="Ara","Arabica",IF(I537="Lib","Liberica",""))))</f>
        <v>Liberica</v>
      </c>
      <c r="O537" t="str">
        <f t="shared" si="8"/>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9">
        <f>INDEX(products!$A$1:$G$49,MATCH(orders!$D538,products!$A$1:$A$49,0),MATCH(orders!K$1,products!$A$1:$G$1,0))</f>
        <v>0.2</v>
      </c>
      <c r="L538" s="5">
        <f>INDEX(products!$A$1:$G$49,MATCH(orders!$D538,products!$A$1:$A$49,0),MATCH(orders!L$1,products!$A$1:$G$1,0))</f>
        <v>2.6849999999999996</v>
      </c>
      <c r="M538">
        <f>L538*E538</f>
        <v>8.0549999999999997</v>
      </c>
      <c r="N538" t="str">
        <f>IF(I538="Rob","Robusta",IF(I538="Exc","Excelsa",IF(I538="Ara","Arabica",IF(I538="Lib","Liberica",""))))</f>
        <v>Robusta</v>
      </c>
      <c r="O538" t="str">
        <f t="shared" si="8"/>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9">
        <f>INDEX(products!$A$1:$G$49,MATCH(orders!$D539,products!$A$1:$A$49,0),MATCH(orders!K$1,products!$A$1:$G$1,0))</f>
        <v>2.5</v>
      </c>
      <c r="L539" s="5">
        <f>INDEX(products!$A$1:$G$49,MATCH(orders!$D539,products!$A$1:$A$49,0),MATCH(orders!L$1,products!$A$1:$G$1,0))</f>
        <v>27.945</v>
      </c>
      <c r="M539">
        <f>L539*E539</f>
        <v>111.78</v>
      </c>
      <c r="N539" t="str">
        <f>IF(I539="Rob","Robusta",IF(I539="Exc","Excelsa",IF(I539="Ara","Arabica",IF(I539="Lib","Liberica",""))))</f>
        <v>Excelsa</v>
      </c>
      <c r="O539" t="str">
        <f t="shared" si="8"/>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9">
        <f>INDEX(products!$A$1:$G$49,MATCH(orders!$D540,products!$A$1:$A$49,0),MATCH(orders!K$1,products!$A$1:$G$1,0))</f>
        <v>0.2</v>
      </c>
      <c r="L540" s="5">
        <f>INDEX(products!$A$1:$G$49,MATCH(orders!$D540,products!$A$1:$A$49,0),MATCH(orders!L$1,products!$A$1:$G$1,0))</f>
        <v>2.6849999999999996</v>
      </c>
      <c r="M540">
        <f>L540*E540</f>
        <v>10.739999999999998</v>
      </c>
      <c r="N540" t="str">
        <f>IF(I540="Rob","Robusta",IF(I540="Exc","Excelsa",IF(I540="Ara","Arabica",IF(I540="Lib","Liberica",""))))</f>
        <v>Robusta</v>
      </c>
      <c r="O540" t="str">
        <f t="shared" si="8"/>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9">
        <f>INDEX(products!$A$1:$G$49,MATCH(orders!$D541,products!$A$1:$A$49,0),MATCH(orders!K$1,products!$A$1:$G$1,0))</f>
        <v>0.5</v>
      </c>
      <c r="L541" s="5">
        <f>INDEX(products!$A$1:$G$49,MATCH(orders!$D541,products!$A$1:$A$49,0),MATCH(orders!L$1,products!$A$1:$G$1,0))</f>
        <v>5.3699999999999992</v>
      </c>
      <c r="M541">
        <f>L541*E541</f>
        <v>26.849999999999994</v>
      </c>
      <c r="N541" t="str">
        <f>IF(I541="Rob","Robusta",IF(I541="Exc","Excelsa",IF(I541="Ara","Arabica",IF(I541="Lib","Liberica",""))))</f>
        <v>Robusta</v>
      </c>
      <c r="O541" t="str">
        <f t="shared" si="8"/>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9">
        <f>INDEX(products!$A$1:$G$49,MATCH(orders!$D542,products!$A$1:$A$49,0),MATCH(orders!K$1,products!$A$1:$G$1,0))</f>
        <v>1</v>
      </c>
      <c r="L542" s="5">
        <f>INDEX(products!$A$1:$G$49,MATCH(orders!$D542,products!$A$1:$A$49,0),MATCH(orders!L$1,products!$A$1:$G$1,0))</f>
        <v>15.85</v>
      </c>
      <c r="M542">
        <f>L542*E542</f>
        <v>63.4</v>
      </c>
      <c r="N542" t="str">
        <f>IF(I542="Rob","Robusta",IF(I542="Exc","Excelsa",IF(I542="Ara","Arabica",IF(I542="Lib","Liberica",""))))</f>
        <v>Liberica</v>
      </c>
      <c r="O542" t="str">
        <f t="shared" si="8"/>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f>_xlfn.XLOOKUP(C543,customers!$A$1:$A$1001,customers!$C$1:$C$1001,,0)</f>
        <v>0</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9">
        <f>INDEX(products!$A$1:$G$49,MATCH(orders!$D543,products!$A$1:$A$49,0),MATCH(orders!K$1,products!$A$1:$G$1,0))</f>
        <v>2.5</v>
      </c>
      <c r="L543" s="5">
        <f>INDEX(products!$A$1:$G$49,MATCH(orders!$D543,products!$A$1:$A$49,0),MATCH(orders!L$1,products!$A$1:$G$1,0))</f>
        <v>22.884999999999998</v>
      </c>
      <c r="M543">
        <f>L543*E543</f>
        <v>22.884999999999998</v>
      </c>
      <c r="N543" t="str">
        <f>IF(I543="Rob","Robusta",IF(I543="Exc","Excelsa",IF(I543="Ara","Arabica",IF(I543="Lib","Liberica",""))))</f>
        <v>Arabica</v>
      </c>
      <c r="O543" t="str">
        <f t="shared" si="8"/>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9">
        <f>INDEX(products!$A$1:$G$49,MATCH(orders!$D544,products!$A$1:$A$49,0),MATCH(orders!K$1,products!$A$1:$G$1,0))</f>
        <v>2.5</v>
      </c>
      <c r="L544" s="5">
        <f>INDEX(products!$A$1:$G$49,MATCH(orders!$D544,products!$A$1:$A$49,0),MATCH(orders!L$1,products!$A$1:$G$1,0))</f>
        <v>25.874999999999996</v>
      </c>
      <c r="M544">
        <f>L544*E544</f>
        <v>103.49999999999999</v>
      </c>
      <c r="N544" t="str">
        <f>IF(I544="Rob","Robusta",IF(I544="Exc","Excelsa",IF(I544="Ara","Arabica",IF(I544="Lib","Liberica",""))))</f>
        <v>Arabica</v>
      </c>
      <c r="O544" t="str">
        <f t="shared" si="8"/>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9">
        <f>INDEX(products!$A$1:$G$49,MATCH(orders!$D545,products!$A$1:$A$49,0),MATCH(orders!K$1,products!$A$1:$G$1,0))</f>
        <v>2.5</v>
      </c>
      <c r="L545" s="5">
        <f>INDEX(products!$A$1:$G$49,MATCH(orders!$D545,products!$A$1:$A$49,0),MATCH(orders!L$1,products!$A$1:$G$1,0))</f>
        <v>27.484999999999996</v>
      </c>
      <c r="M545">
        <f>L545*E545</f>
        <v>54.969999999999992</v>
      </c>
      <c r="N545" t="str">
        <f>IF(I545="Rob","Robusta",IF(I545="Exc","Excelsa",IF(I545="Ara","Arabica",IF(I545="Lib","Liberica",""))))</f>
        <v>Robusta</v>
      </c>
      <c r="O545" t="str">
        <f t="shared" si="8"/>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9">
        <f>INDEX(products!$A$1:$G$49,MATCH(orders!$D546,products!$A$1:$A$49,0),MATCH(orders!K$1,products!$A$1:$G$1,0))</f>
        <v>0.5</v>
      </c>
      <c r="L546" s="5">
        <f>INDEX(products!$A$1:$G$49,MATCH(orders!$D546,products!$A$1:$A$49,0),MATCH(orders!L$1,products!$A$1:$G$1,0))</f>
        <v>7.77</v>
      </c>
      <c r="M546">
        <f>L546*E546</f>
        <v>15.54</v>
      </c>
      <c r="N546" t="str">
        <f>IF(I546="Rob","Robusta",IF(I546="Exc","Excelsa",IF(I546="Ara","Arabica",IF(I546="Lib","Liberica",""))))</f>
        <v>Arabica</v>
      </c>
      <c r="O546" t="str">
        <f t="shared" si="8"/>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9">
        <f>INDEX(products!$A$1:$G$49,MATCH(orders!$D547,products!$A$1:$A$49,0),MATCH(orders!K$1,products!$A$1:$G$1,0))</f>
        <v>0.2</v>
      </c>
      <c r="L547" s="5">
        <f>INDEX(products!$A$1:$G$49,MATCH(orders!$D547,products!$A$1:$A$49,0),MATCH(orders!L$1,products!$A$1:$G$1,0))</f>
        <v>3.8849999999999998</v>
      </c>
      <c r="M547">
        <f>L547*E547</f>
        <v>15.54</v>
      </c>
      <c r="N547" t="str">
        <f>IF(I547="Rob","Robusta",IF(I547="Exc","Excelsa",IF(I547="Ara","Arabica",IF(I547="Lib","Liberica",""))))</f>
        <v>Liberica</v>
      </c>
      <c r="O547" t="str">
        <f t="shared" si="8"/>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f>_xlfn.XLOOKUP(C548,customers!$A$1:$A$1001,customers!$C$1:$C$1001,,0)</f>
        <v>0</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9">
        <f>INDEX(products!$A$1:$G$49,MATCH(orders!$D548,products!$A$1:$A$49,0),MATCH(orders!K$1,products!$A$1:$G$1,0))</f>
        <v>2.5</v>
      </c>
      <c r="L548" s="5">
        <f>INDEX(products!$A$1:$G$49,MATCH(orders!$D548,products!$A$1:$A$49,0),MATCH(orders!L$1,products!$A$1:$G$1,0))</f>
        <v>27.945</v>
      </c>
      <c r="M548">
        <f>L548*E548</f>
        <v>83.835000000000008</v>
      </c>
      <c r="N548" t="str">
        <f>IF(I548="Rob","Robusta",IF(I548="Exc","Excelsa",IF(I548="Ara","Arabica",IF(I548="Lib","Liberica",""))))</f>
        <v>Excelsa</v>
      </c>
      <c r="O548" t="str">
        <f t="shared" si="8"/>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9">
        <f>INDEX(products!$A$1:$G$49,MATCH(orders!$D549,products!$A$1:$A$49,0),MATCH(orders!K$1,products!$A$1:$G$1,0))</f>
        <v>0.2</v>
      </c>
      <c r="L549" s="5">
        <f>INDEX(products!$A$1:$G$49,MATCH(orders!$D549,products!$A$1:$A$49,0),MATCH(orders!L$1,products!$A$1:$G$1,0))</f>
        <v>3.5849999999999995</v>
      </c>
      <c r="M549">
        <f>L549*E549</f>
        <v>10.754999999999999</v>
      </c>
      <c r="N549" t="str">
        <f>IF(I549="Rob","Robusta",IF(I549="Exc","Excelsa",IF(I549="Ara","Arabica",IF(I549="Lib","Liberica",""))))</f>
        <v>Robusta</v>
      </c>
      <c r="O549" t="str">
        <f t="shared" si="8"/>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9">
        <f>INDEX(products!$A$1:$G$49,MATCH(orders!$D550,products!$A$1:$A$49,0),MATCH(orders!K$1,products!$A$1:$G$1,0))</f>
        <v>0.2</v>
      </c>
      <c r="L550" s="5">
        <f>INDEX(products!$A$1:$G$49,MATCH(orders!$D550,products!$A$1:$A$49,0),MATCH(orders!L$1,products!$A$1:$G$1,0))</f>
        <v>4.4550000000000001</v>
      </c>
      <c r="M550">
        <f>L550*E550</f>
        <v>13.365</v>
      </c>
      <c r="N550" t="str">
        <f>IF(I550="Rob","Robusta",IF(I550="Exc","Excelsa",IF(I550="Ara","Arabica",IF(I550="Lib","Liberica",""))))</f>
        <v>Excelsa</v>
      </c>
      <c r="O550" t="str">
        <f t="shared" si="8"/>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9">
        <f>INDEX(products!$A$1:$G$49,MATCH(orders!$D551,products!$A$1:$A$49,0),MATCH(orders!K$1,products!$A$1:$G$1,0))</f>
        <v>0.2</v>
      </c>
      <c r="L551" s="5">
        <f>INDEX(products!$A$1:$G$49,MATCH(orders!$D551,products!$A$1:$A$49,0),MATCH(orders!L$1,products!$A$1:$G$1,0))</f>
        <v>4.4550000000000001</v>
      </c>
      <c r="M551">
        <f>L551*E551</f>
        <v>17.82</v>
      </c>
      <c r="N551" t="str">
        <f>IF(I551="Rob","Robusta",IF(I551="Exc","Excelsa",IF(I551="Ara","Arabica",IF(I551="Lib","Liberica",""))))</f>
        <v>Excelsa</v>
      </c>
      <c r="O551" t="str">
        <f t="shared" si="8"/>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9">
        <f>INDEX(products!$A$1:$G$49,MATCH(orders!$D552,products!$A$1:$A$49,0),MATCH(orders!K$1,products!$A$1:$G$1,0))</f>
        <v>0.2</v>
      </c>
      <c r="L552" s="5">
        <f>INDEX(products!$A$1:$G$49,MATCH(orders!$D552,products!$A$1:$A$49,0),MATCH(orders!L$1,products!$A$1:$G$1,0))</f>
        <v>3.8849999999999998</v>
      </c>
      <c r="M552">
        <f>L552*E552</f>
        <v>23.31</v>
      </c>
      <c r="N552" t="str">
        <f>IF(I552="Rob","Robusta",IF(I552="Exc","Excelsa",IF(I552="Ara","Arabica",IF(I552="Lib","Liberica",""))))</f>
        <v>Liberica</v>
      </c>
      <c r="O552" t="str">
        <f t="shared" si="8"/>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9">
        <f>INDEX(products!$A$1:$G$49,MATCH(orders!$D553,products!$A$1:$A$49,0),MATCH(orders!K$1,products!$A$1:$G$1,0))</f>
        <v>0.2</v>
      </c>
      <c r="L553" s="5">
        <f>INDEX(products!$A$1:$G$49,MATCH(orders!$D553,products!$A$1:$A$49,0),MATCH(orders!L$1,products!$A$1:$G$1,0))</f>
        <v>3.645</v>
      </c>
      <c r="M553">
        <f>L553*E553</f>
        <v>7.29</v>
      </c>
      <c r="N553" t="str">
        <f>IF(I553="Rob","Robusta",IF(I553="Exc","Excelsa",IF(I553="Ara","Arabica",IF(I553="Lib","Liberica",""))))</f>
        <v>Excelsa</v>
      </c>
      <c r="O553" t="str">
        <f t="shared" si="8"/>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9">
        <f>INDEX(products!$A$1:$G$49,MATCH(orders!$D554,products!$A$1:$A$49,0),MATCH(orders!K$1,products!$A$1:$G$1,0))</f>
        <v>0.2</v>
      </c>
      <c r="L554" s="5">
        <f>INDEX(products!$A$1:$G$49,MATCH(orders!$D554,products!$A$1:$A$49,0),MATCH(orders!L$1,products!$A$1:$G$1,0))</f>
        <v>4.4550000000000001</v>
      </c>
      <c r="M554">
        <f>L554*E554</f>
        <v>17.82</v>
      </c>
      <c r="N554" t="str">
        <f>IF(I554="Rob","Robusta",IF(I554="Exc","Excelsa",IF(I554="Ara","Arabica",IF(I554="Lib","Liberica",""))))</f>
        <v>Excelsa</v>
      </c>
      <c r="O554" t="str">
        <f t="shared" si="8"/>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9">
        <f>INDEX(products!$A$1:$G$49,MATCH(orders!$D555,products!$A$1:$A$49,0),MATCH(orders!K$1,products!$A$1:$G$1,0))</f>
        <v>1</v>
      </c>
      <c r="L555" s="5">
        <f>INDEX(products!$A$1:$G$49,MATCH(orders!$D555,products!$A$1:$A$49,0),MATCH(orders!L$1,products!$A$1:$G$1,0))</f>
        <v>13.75</v>
      </c>
      <c r="M555">
        <f>L555*E555</f>
        <v>68.75</v>
      </c>
      <c r="N555" t="str">
        <f>IF(I555="Rob","Robusta",IF(I555="Exc","Excelsa",IF(I555="Ara","Arabica",IF(I555="Lib","Liberica",""))))</f>
        <v>Excelsa</v>
      </c>
      <c r="O555" t="str">
        <f t="shared" si="8"/>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f>_xlfn.XLOOKUP(C556,customers!$A$1:$A$1001,customers!$C$1:$C$1001,,0)</f>
        <v>0</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9">
        <f>INDEX(products!$A$1:$G$49,MATCH(orders!$D556,products!$A$1:$A$49,0),MATCH(orders!K$1,products!$A$1:$G$1,0))</f>
        <v>2.5</v>
      </c>
      <c r="L556" s="5">
        <f>INDEX(products!$A$1:$G$49,MATCH(orders!$D556,products!$A$1:$A$49,0),MATCH(orders!L$1,products!$A$1:$G$1,0))</f>
        <v>27.484999999999996</v>
      </c>
      <c r="M556">
        <f>L556*E556</f>
        <v>54.969999999999992</v>
      </c>
      <c r="N556" t="str">
        <f>IF(I556="Rob","Robusta",IF(I556="Exc","Excelsa",IF(I556="Ara","Arabica",IF(I556="Lib","Liberica",""))))</f>
        <v>Robusta</v>
      </c>
      <c r="O556" t="str">
        <f t="shared" si="8"/>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9">
        <f>INDEX(products!$A$1:$G$49,MATCH(orders!$D557,products!$A$1:$A$49,0),MATCH(orders!K$1,products!$A$1:$G$1,0))</f>
        <v>1</v>
      </c>
      <c r="L557" s="5">
        <f>INDEX(products!$A$1:$G$49,MATCH(orders!$D557,products!$A$1:$A$49,0),MATCH(orders!L$1,products!$A$1:$G$1,0))</f>
        <v>13.75</v>
      </c>
      <c r="M557">
        <f>L557*E557</f>
        <v>82.5</v>
      </c>
      <c r="N557" t="str">
        <f>IF(I557="Rob","Robusta",IF(I557="Exc","Excelsa",IF(I557="Ara","Arabica",IF(I557="Lib","Liberica",""))))</f>
        <v>Excelsa</v>
      </c>
      <c r="O557" t="str">
        <f t="shared" si="8"/>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9">
        <f>INDEX(products!$A$1:$G$49,MATCH(orders!$D558,products!$A$1:$A$49,0),MATCH(orders!K$1,products!$A$1:$G$1,0))</f>
        <v>0.2</v>
      </c>
      <c r="L558" s="5">
        <f>INDEX(products!$A$1:$G$49,MATCH(orders!$D558,products!$A$1:$A$49,0),MATCH(orders!L$1,products!$A$1:$G$1,0))</f>
        <v>4.3650000000000002</v>
      </c>
      <c r="M558">
        <f>L558*E558</f>
        <v>8.73</v>
      </c>
      <c r="N558" t="str">
        <f>IF(I558="Rob","Robusta",IF(I558="Exc","Excelsa",IF(I558="Ara","Arabica",IF(I558="Lib","Liberica",""))))</f>
        <v>Liberica</v>
      </c>
      <c r="O558" t="str">
        <f t="shared" si="8"/>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9">
        <f>INDEX(products!$A$1:$G$49,MATCH(orders!$D559,products!$A$1:$A$49,0),MATCH(orders!K$1,products!$A$1:$G$1,0))</f>
        <v>1</v>
      </c>
      <c r="L559" s="5">
        <f>INDEX(products!$A$1:$G$49,MATCH(orders!$D559,products!$A$1:$A$49,0),MATCH(orders!L$1,products!$A$1:$G$1,0))</f>
        <v>14.85</v>
      </c>
      <c r="M559">
        <f>L559*E559</f>
        <v>59.4</v>
      </c>
      <c r="N559" t="str">
        <f>IF(I559="Rob","Robusta",IF(I559="Exc","Excelsa",IF(I559="Ara","Arabica",IF(I559="Lib","Liberica",""))))</f>
        <v>Excelsa</v>
      </c>
      <c r="O559" t="str">
        <f t="shared" si="8"/>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f>_xlfn.XLOOKUP(C560,customers!$A$1:$A$1001,customers!$C$1:$C$1001,,0)</f>
        <v>0</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9">
        <f>INDEX(products!$A$1:$G$49,MATCH(orders!$D560,products!$A$1:$A$49,0),MATCH(orders!K$1,products!$A$1:$G$1,0))</f>
        <v>0.2</v>
      </c>
      <c r="L560" s="5">
        <f>INDEX(products!$A$1:$G$49,MATCH(orders!$D560,products!$A$1:$A$49,0),MATCH(orders!L$1,products!$A$1:$G$1,0))</f>
        <v>3.8849999999999998</v>
      </c>
      <c r="M560">
        <f>L560*E560</f>
        <v>15.54</v>
      </c>
      <c r="N560" t="str">
        <f>IF(I560="Rob","Robusta",IF(I560="Exc","Excelsa",IF(I560="Ara","Arabica",IF(I560="Lib","Liberica",""))))</f>
        <v>Liberica</v>
      </c>
      <c r="O560" t="str">
        <f t="shared" si="8"/>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9">
        <f>INDEX(products!$A$1:$G$49,MATCH(orders!$D561,products!$A$1:$A$49,0),MATCH(orders!K$1,products!$A$1:$G$1,0))</f>
        <v>1</v>
      </c>
      <c r="L561" s="5">
        <f>INDEX(products!$A$1:$G$49,MATCH(orders!$D561,products!$A$1:$A$49,0),MATCH(orders!L$1,products!$A$1:$G$1,0))</f>
        <v>12.95</v>
      </c>
      <c r="M561">
        <f>L561*E561</f>
        <v>38.849999999999994</v>
      </c>
      <c r="N561" t="str">
        <f>IF(I561="Rob","Robusta",IF(I561="Exc","Excelsa",IF(I561="Ara","Arabica",IF(I561="Lib","Liberica",""))))</f>
        <v>Arabica</v>
      </c>
      <c r="O561" t="str">
        <f t="shared" si="8"/>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f>_xlfn.XLOOKUP(C562,customers!$A$1:$A$1001,customers!$C$1:$C$1001,,0)</f>
        <v>0</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9">
        <f>INDEX(products!$A$1:$G$49,MATCH(orders!$D562,products!$A$1:$A$49,0),MATCH(orders!K$1,products!$A$1:$G$1,0))</f>
        <v>2.5</v>
      </c>
      <c r="L562" s="5">
        <f>INDEX(products!$A$1:$G$49,MATCH(orders!$D562,products!$A$1:$A$49,0),MATCH(orders!L$1,products!$A$1:$G$1,0))</f>
        <v>31.624999999999996</v>
      </c>
      <c r="M562">
        <f>L562*E562</f>
        <v>189.74999999999997</v>
      </c>
      <c r="N562" t="str">
        <f>IF(I562="Rob","Robusta",IF(I562="Exc","Excelsa",IF(I562="Ara","Arabica",IF(I562="Lib","Liberica",""))))</f>
        <v>Excelsa</v>
      </c>
      <c r="O562" t="str">
        <f t="shared" si="8"/>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f>_xlfn.XLOOKUP(C563,customers!$A$1:$A$1001,customers!$C$1:$C$1001,,0)</f>
        <v>0</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9">
        <f>INDEX(products!$A$1:$G$49,MATCH(orders!$D563,products!$A$1:$A$49,0),MATCH(orders!K$1,products!$A$1:$G$1,0))</f>
        <v>0.2</v>
      </c>
      <c r="L563" s="5">
        <f>INDEX(products!$A$1:$G$49,MATCH(orders!$D563,products!$A$1:$A$49,0),MATCH(orders!L$1,products!$A$1:$G$1,0))</f>
        <v>2.9849999999999999</v>
      </c>
      <c r="M563">
        <f>L563*E563</f>
        <v>17.91</v>
      </c>
      <c r="N563" t="str">
        <f>IF(I563="Rob","Robusta",IF(I563="Exc","Excelsa",IF(I563="Ara","Arabica",IF(I563="Lib","Liberica",""))))</f>
        <v>Arabica</v>
      </c>
      <c r="O563" t="str">
        <f t="shared" si="8"/>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9">
        <f>INDEX(products!$A$1:$G$49,MATCH(orders!$D564,products!$A$1:$A$49,0),MATCH(orders!K$1,products!$A$1:$G$1,0))</f>
        <v>0.2</v>
      </c>
      <c r="L564" s="5">
        <f>INDEX(products!$A$1:$G$49,MATCH(orders!$D564,products!$A$1:$A$49,0),MATCH(orders!L$1,products!$A$1:$G$1,0))</f>
        <v>4.7549999999999999</v>
      </c>
      <c r="M564">
        <f>L564*E564</f>
        <v>28.53</v>
      </c>
      <c r="N564" t="str">
        <f>IF(I564="Rob","Robusta",IF(I564="Exc","Excelsa",IF(I564="Ara","Arabica",IF(I564="Lib","Liberica",""))))</f>
        <v>Liberica</v>
      </c>
      <c r="O564" t="str">
        <f t="shared" si="8"/>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9">
        <f>INDEX(products!$A$1:$G$49,MATCH(orders!$D565,products!$A$1:$A$49,0),MATCH(orders!K$1,products!$A$1:$G$1,0))</f>
        <v>1</v>
      </c>
      <c r="L565" s="5">
        <f>INDEX(products!$A$1:$G$49,MATCH(orders!$D565,products!$A$1:$A$49,0),MATCH(orders!L$1,products!$A$1:$G$1,0))</f>
        <v>13.75</v>
      </c>
      <c r="M565">
        <f>L565*E565</f>
        <v>82.5</v>
      </c>
      <c r="N565" t="str">
        <f>IF(I565="Rob","Robusta",IF(I565="Exc","Excelsa",IF(I565="Ara","Arabica",IF(I565="Lib","Liberica",""))))</f>
        <v>Excelsa</v>
      </c>
      <c r="O565" t="str">
        <f t="shared" si="8"/>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9">
        <f>INDEX(products!$A$1:$G$49,MATCH(orders!$D566,products!$A$1:$A$49,0),MATCH(orders!K$1,products!$A$1:$G$1,0))</f>
        <v>0.5</v>
      </c>
      <c r="L566" s="5">
        <f>INDEX(products!$A$1:$G$49,MATCH(orders!$D566,products!$A$1:$A$49,0),MATCH(orders!L$1,products!$A$1:$G$1,0))</f>
        <v>7.169999999999999</v>
      </c>
      <c r="M566">
        <f>L566*E566</f>
        <v>14.339999999999998</v>
      </c>
      <c r="N566" t="str">
        <f>IF(I566="Rob","Robusta",IF(I566="Exc","Excelsa",IF(I566="Ara","Arabica",IF(I566="Lib","Liberica",""))))</f>
        <v>Robusta</v>
      </c>
      <c r="O566" t="str">
        <f t="shared" si="8"/>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9">
        <f>INDEX(products!$A$1:$G$49,MATCH(orders!$D567,products!$A$1:$A$49,0),MATCH(orders!K$1,products!$A$1:$G$1,0))</f>
        <v>2.5</v>
      </c>
      <c r="L567" s="5">
        <f>INDEX(products!$A$1:$G$49,MATCH(orders!$D567,products!$A$1:$A$49,0),MATCH(orders!L$1,products!$A$1:$G$1,0))</f>
        <v>20.584999999999997</v>
      </c>
      <c r="M567">
        <f>L567*E567</f>
        <v>82.339999999999989</v>
      </c>
      <c r="N567" t="str">
        <f>IF(I567="Rob","Robusta",IF(I567="Exc","Excelsa",IF(I567="Ara","Arabica",IF(I567="Lib","Liberica",""))))</f>
        <v>Robusta</v>
      </c>
      <c r="O567" t="str">
        <f t="shared" si="8"/>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9">
        <f>INDEX(products!$A$1:$G$49,MATCH(orders!$D568,products!$A$1:$A$49,0),MATCH(orders!K$1,products!$A$1:$G$1,0))</f>
        <v>0.2</v>
      </c>
      <c r="L568" s="5">
        <f>INDEX(products!$A$1:$G$49,MATCH(orders!$D568,products!$A$1:$A$49,0),MATCH(orders!L$1,products!$A$1:$G$1,0))</f>
        <v>3.375</v>
      </c>
      <c r="M568">
        <f>L568*E568</f>
        <v>20.25</v>
      </c>
      <c r="N568" t="str">
        <f>IF(I568="Rob","Robusta",IF(I568="Exc","Excelsa",IF(I568="Ara","Arabica",IF(I568="Lib","Liberica",""))))</f>
        <v>Arabica</v>
      </c>
      <c r="O568" t="str">
        <f t="shared" si="8"/>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f>_xlfn.XLOOKUP(C569,customers!$A$1:$A$1001,customers!$C$1:$C$1001,,0)</f>
        <v>0</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9">
        <f>INDEX(products!$A$1:$G$49,MATCH(orders!$D569,products!$A$1:$A$49,0),MATCH(orders!K$1,products!$A$1:$G$1,0))</f>
        <v>2.5</v>
      </c>
      <c r="L569" s="5">
        <f>INDEX(products!$A$1:$G$49,MATCH(orders!$D569,products!$A$1:$A$49,0),MATCH(orders!L$1,products!$A$1:$G$1,0))</f>
        <v>27.484999999999996</v>
      </c>
      <c r="M569">
        <f>L569*E569</f>
        <v>164.90999999999997</v>
      </c>
      <c r="N569" t="str">
        <f>IF(I569="Rob","Robusta",IF(I569="Exc","Excelsa",IF(I569="Ara","Arabica",IF(I569="Lib","Liberica",""))))</f>
        <v>Robusta</v>
      </c>
      <c r="O569" t="str">
        <f t="shared" si="8"/>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9">
        <f>INDEX(products!$A$1:$G$49,MATCH(orders!$D570,products!$A$1:$A$49,0),MATCH(orders!K$1,products!$A$1:$G$1,0))</f>
        <v>0.2</v>
      </c>
      <c r="L570" s="5">
        <f>INDEX(products!$A$1:$G$49,MATCH(orders!$D570,products!$A$1:$A$49,0),MATCH(orders!L$1,products!$A$1:$G$1,0))</f>
        <v>4.7549999999999999</v>
      </c>
      <c r="M570">
        <f>L570*E570</f>
        <v>19.02</v>
      </c>
      <c r="N570" t="str">
        <f>IF(I570="Rob","Robusta",IF(I570="Exc","Excelsa",IF(I570="Ara","Arabica",IF(I570="Lib","Liberica",""))))</f>
        <v>Liberica</v>
      </c>
      <c r="O570" t="str">
        <f t="shared" si="8"/>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9">
        <f>INDEX(products!$A$1:$G$49,MATCH(orders!$D571,products!$A$1:$A$49,0),MATCH(orders!K$1,products!$A$1:$G$1,0))</f>
        <v>2.5</v>
      </c>
      <c r="L571" s="5">
        <f>INDEX(products!$A$1:$G$49,MATCH(orders!$D571,products!$A$1:$A$49,0),MATCH(orders!L$1,products!$A$1:$G$1,0))</f>
        <v>22.884999999999998</v>
      </c>
      <c r="M571">
        <f>L571*E571</f>
        <v>137.31</v>
      </c>
      <c r="N571" t="str">
        <f>IF(I571="Rob","Robusta",IF(I571="Exc","Excelsa",IF(I571="Ara","Arabica",IF(I571="Lib","Liberica",""))))</f>
        <v>Arabica</v>
      </c>
      <c r="O571" t="str">
        <f t="shared" si="8"/>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9">
        <f>INDEX(products!$A$1:$G$49,MATCH(orders!$D572,products!$A$1:$A$49,0),MATCH(orders!K$1,products!$A$1:$G$1,0))</f>
        <v>0.5</v>
      </c>
      <c r="L572" s="5">
        <f>INDEX(products!$A$1:$G$49,MATCH(orders!$D572,products!$A$1:$A$49,0),MATCH(orders!L$1,products!$A$1:$G$1,0))</f>
        <v>6.75</v>
      </c>
      <c r="M572">
        <f>L572*E572</f>
        <v>27</v>
      </c>
      <c r="N572" t="str">
        <f>IF(I572="Rob","Robusta",IF(I572="Exc","Excelsa",IF(I572="Ara","Arabica",IF(I572="Lib","Liberica",""))))</f>
        <v>Arabica</v>
      </c>
      <c r="O572" t="str">
        <f t="shared" si="8"/>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9">
        <f>INDEX(products!$A$1:$G$49,MATCH(orders!$D573,products!$A$1:$A$49,0),MATCH(orders!K$1,products!$A$1:$G$1,0))</f>
        <v>0.5</v>
      </c>
      <c r="L573" s="5">
        <f>INDEX(products!$A$1:$G$49,MATCH(orders!$D573,products!$A$1:$A$49,0),MATCH(orders!L$1,products!$A$1:$G$1,0))</f>
        <v>8.91</v>
      </c>
      <c r="M573">
        <f>L573*E573</f>
        <v>35.64</v>
      </c>
      <c r="N573" t="str">
        <f>IF(I573="Rob","Robusta",IF(I573="Exc","Excelsa",IF(I573="Ara","Arabica",IF(I573="Lib","Liberica",""))))</f>
        <v>Excelsa</v>
      </c>
      <c r="O573" t="str">
        <f t="shared" si="8"/>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f>_xlfn.XLOOKUP(C574,customers!$A$1:$A$1001,customers!$C$1:$C$1001,,0)</f>
        <v>0</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9">
        <f>INDEX(products!$A$1:$G$49,MATCH(orders!$D574,products!$A$1:$A$49,0),MATCH(orders!K$1,products!$A$1:$G$1,0))</f>
        <v>0.2</v>
      </c>
      <c r="L574" s="5">
        <f>INDEX(products!$A$1:$G$49,MATCH(orders!$D574,products!$A$1:$A$49,0),MATCH(orders!L$1,products!$A$1:$G$1,0))</f>
        <v>2.9849999999999999</v>
      </c>
      <c r="M574">
        <f>L574*E574</f>
        <v>5.97</v>
      </c>
      <c r="N574" t="str">
        <f>IF(I574="Rob","Robusta",IF(I574="Exc","Excelsa",IF(I574="Ara","Arabica",IF(I574="Lib","Liberica",""))))</f>
        <v>Arabica</v>
      </c>
      <c r="O574" t="str">
        <f t="shared" si="8"/>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9">
        <f>INDEX(products!$A$1:$G$49,MATCH(orders!$D575,products!$A$1:$A$49,0),MATCH(orders!K$1,products!$A$1:$G$1,0))</f>
        <v>1</v>
      </c>
      <c r="L575" s="5">
        <f>INDEX(products!$A$1:$G$49,MATCH(orders!$D575,products!$A$1:$A$49,0),MATCH(orders!L$1,products!$A$1:$G$1,0))</f>
        <v>11.25</v>
      </c>
      <c r="M575">
        <f>L575*E575</f>
        <v>67.5</v>
      </c>
      <c r="N575" t="str">
        <f>IF(I575="Rob","Robusta",IF(I575="Exc","Excelsa",IF(I575="Ara","Arabica",IF(I575="Lib","Liberica",""))))</f>
        <v>Arabica</v>
      </c>
      <c r="O575" t="str">
        <f t="shared" si="8"/>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9">
        <f>INDEX(products!$A$1:$G$49,MATCH(orders!$D576,products!$A$1:$A$49,0),MATCH(orders!K$1,products!$A$1:$G$1,0))</f>
        <v>0.2</v>
      </c>
      <c r="L576" s="5">
        <f>INDEX(products!$A$1:$G$49,MATCH(orders!$D576,products!$A$1:$A$49,0),MATCH(orders!L$1,products!$A$1:$G$1,0))</f>
        <v>3.5849999999999995</v>
      </c>
      <c r="M576">
        <f>L576*E576</f>
        <v>21.509999999999998</v>
      </c>
      <c r="N576" t="str">
        <f>IF(I576="Rob","Robusta",IF(I576="Exc","Excelsa",IF(I576="Ara","Arabica",IF(I576="Lib","Liberica",""))))</f>
        <v>Robusta</v>
      </c>
      <c r="O576" t="str">
        <f t="shared" si="8"/>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9">
        <f>INDEX(products!$A$1:$G$49,MATCH(orders!$D577,products!$A$1:$A$49,0),MATCH(orders!K$1,products!$A$1:$G$1,0))</f>
        <v>2.5</v>
      </c>
      <c r="L577" s="5">
        <f>INDEX(products!$A$1:$G$49,MATCH(orders!$D577,products!$A$1:$A$49,0),MATCH(orders!L$1,products!$A$1:$G$1,0))</f>
        <v>33.464999999999996</v>
      </c>
      <c r="M577">
        <f>L577*E577</f>
        <v>66.929999999999993</v>
      </c>
      <c r="N577" t="str">
        <f>IF(I577="Rob","Robusta",IF(I577="Exc","Excelsa",IF(I577="Ara","Arabica",IF(I577="Lib","Liberica",""))))</f>
        <v>Liberica</v>
      </c>
      <c r="O577" t="str">
        <f t="shared" si="8"/>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9">
        <f>INDEX(products!$A$1:$G$49,MATCH(orders!$D578,products!$A$1:$A$49,0),MATCH(orders!K$1,products!$A$1:$G$1,0))</f>
        <v>0.2</v>
      </c>
      <c r="L578" s="5">
        <f>INDEX(products!$A$1:$G$49,MATCH(orders!$D578,products!$A$1:$A$49,0),MATCH(orders!L$1,products!$A$1:$G$1,0))</f>
        <v>2.9849999999999999</v>
      </c>
      <c r="M578">
        <f>L578*E578</f>
        <v>17.91</v>
      </c>
      <c r="N578" t="str">
        <f>IF(I578="Rob","Robusta",IF(I578="Exc","Excelsa",IF(I578="Ara","Arabica",IF(I578="Lib","Liberica",""))))</f>
        <v>Arabica</v>
      </c>
      <c r="O578" t="str">
        <f t="shared" si="8"/>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9">
        <f>INDEX(products!$A$1:$G$49,MATCH(orders!$D579,products!$A$1:$A$49,0),MATCH(orders!K$1,products!$A$1:$G$1,0))</f>
        <v>1</v>
      </c>
      <c r="L579" s="5">
        <f>INDEX(products!$A$1:$G$49,MATCH(orders!$D579,products!$A$1:$A$49,0),MATCH(orders!L$1,products!$A$1:$G$1,0))</f>
        <v>14.55</v>
      </c>
      <c r="M579">
        <f>L579*E579</f>
        <v>58.2</v>
      </c>
      <c r="N579" t="str">
        <f>IF(I579="Rob","Robusta",IF(I579="Exc","Excelsa",IF(I579="Ara","Arabica",IF(I579="Lib","Liberica",""))))</f>
        <v>Liberica</v>
      </c>
      <c r="O579" t="str">
        <f t="shared" ref="O579:O642" si="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9">
        <f>INDEX(products!$A$1:$G$49,MATCH(orders!$D580,products!$A$1:$A$49,0),MATCH(orders!K$1,products!$A$1:$G$1,0))</f>
        <v>0.2</v>
      </c>
      <c r="L580" s="5">
        <f>INDEX(products!$A$1:$G$49,MATCH(orders!$D580,products!$A$1:$A$49,0),MATCH(orders!L$1,products!$A$1:$G$1,0))</f>
        <v>4.4550000000000001</v>
      </c>
      <c r="M580">
        <f>L580*E580</f>
        <v>13.365</v>
      </c>
      <c r="N580" t="str">
        <f>IF(I580="Rob","Robusta",IF(I580="Exc","Excelsa",IF(I580="Ara","Arabica",IF(I580="Lib","Liberica",""))))</f>
        <v>Excelsa</v>
      </c>
      <c r="O580" t="str">
        <f t="shared" si="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9">
        <f>INDEX(products!$A$1:$G$49,MATCH(orders!$D581,products!$A$1:$A$49,0),MATCH(orders!K$1,products!$A$1:$G$1,0))</f>
        <v>0.5</v>
      </c>
      <c r="L581" s="5">
        <f>INDEX(products!$A$1:$G$49,MATCH(orders!$D581,products!$A$1:$A$49,0),MATCH(orders!L$1,products!$A$1:$G$1,0))</f>
        <v>6.75</v>
      </c>
      <c r="M581">
        <f>L581*E581</f>
        <v>33.75</v>
      </c>
      <c r="N581" t="str">
        <f>IF(I581="Rob","Robusta",IF(I581="Exc","Excelsa",IF(I581="Ara","Arabica",IF(I581="Lib","Liberica",""))))</f>
        <v>Arabica</v>
      </c>
      <c r="O581" t="str">
        <f t="shared" si="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9">
        <f>INDEX(products!$A$1:$G$49,MATCH(orders!$D582,products!$A$1:$A$49,0),MATCH(orders!K$1,products!$A$1:$G$1,0))</f>
        <v>1</v>
      </c>
      <c r="L582" s="5">
        <f>INDEX(products!$A$1:$G$49,MATCH(orders!$D582,products!$A$1:$A$49,0),MATCH(orders!L$1,products!$A$1:$G$1,0))</f>
        <v>14.85</v>
      </c>
      <c r="M582">
        <f>L582*E582</f>
        <v>44.55</v>
      </c>
      <c r="N582" t="str">
        <f>IF(I582="Rob","Robusta",IF(I582="Exc","Excelsa",IF(I582="Ara","Arabica",IF(I582="Lib","Liberica",""))))</f>
        <v>Excelsa</v>
      </c>
      <c r="O582" t="str">
        <f t="shared" si="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9">
        <f>INDEX(products!$A$1:$G$49,MATCH(orders!$D583,products!$A$1:$A$49,0),MATCH(orders!K$1,products!$A$1:$G$1,0))</f>
        <v>0.5</v>
      </c>
      <c r="L583" s="5">
        <f>INDEX(products!$A$1:$G$49,MATCH(orders!$D583,products!$A$1:$A$49,0),MATCH(orders!L$1,products!$A$1:$G$1,0))</f>
        <v>8.91</v>
      </c>
      <c r="M583">
        <f>L583*E583</f>
        <v>44.55</v>
      </c>
      <c r="N583" t="str">
        <f>IF(I583="Rob","Robusta",IF(I583="Exc","Excelsa",IF(I583="Ara","Arabica",IF(I583="Lib","Liberica",""))))</f>
        <v>Excelsa</v>
      </c>
      <c r="O583" t="str">
        <f t="shared" si="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9">
        <f>INDEX(products!$A$1:$G$49,MATCH(orders!$D584,products!$A$1:$A$49,0),MATCH(orders!K$1,products!$A$1:$G$1,0))</f>
        <v>1</v>
      </c>
      <c r="L584" s="5">
        <f>INDEX(products!$A$1:$G$49,MATCH(orders!$D584,products!$A$1:$A$49,0),MATCH(orders!L$1,products!$A$1:$G$1,0))</f>
        <v>12.15</v>
      </c>
      <c r="M584">
        <f>L584*E584</f>
        <v>60.75</v>
      </c>
      <c r="N584" t="str">
        <f>IF(I584="Rob","Robusta",IF(I584="Exc","Excelsa",IF(I584="Ara","Arabica",IF(I584="Lib","Liberica",""))))</f>
        <v>Excelsa</v>
      </c>
      <c r="O584" t="str">
        <f t="shared" si="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9">
        <f>INDEX(products!$A$1:$G$49,MATCH(orders!$D585,products!$A$1:$A$49,0),MATCH(orders!K$1,products!$A$1:$G$1,0))</f>
        <v>0.2</v>
      </c>
      <c r="L585" s="5">
        <f>INDEX(products!$A$1:$G$49,MATCH(orders!$D585,products!$A$1:$A$49,0),MATCH(orders!L$1,products!$A$1:$G$1,0))</f>
        <v>3.5849999999999995</v>
      </c>
      <c r="M585">
        <f>L585*E585</f>
        <v>3.5849999999999995</v>
      </c>
      <c r="N585" t="str">
        <f>IF(I585="Rob","Robusta",IF(I585="Exc","Excelsa",IF(I585="Ara","Arabica",IF(I585="Lib","Liberica",""))))</f>
        <v>Robusta</v>
      </c>
      <c r="O585" t="str">
        <f t="shared" si="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9">
        <f>INDEX(products!$A$1:$G$49,MATCH(orders!$D586,products!$A$1:$A$49,0),MATCH(orders!K$1,products!$A$1:$G$1,0))</f>
        <v>0.2</v>
      </c>
      <c r="L586" s="5">
        <f>INDEX(products!$A$1:$G$49,MATCH(orders!$D586,products!$A$1:$A$49,0),MATCH(orders!L$1,products!$A$1:$G$1,0))</f>
        <v>3.5849999999999995</v>
      </c>
      <c r="M586">
        <f>L586*E586</f>
        <v>21.509999999999998</v>
      </c>
      <c r="N586" t="str">
        <f>IF(I586="Rob","Robusta",IF(I586="Exc","Excelsa",IF(I586="Ara","Arabica",IF(I586="Lib","Liberica",""))))</f>
        <v>Robusta</v>
      </c>
      <c r="O586" t="str">
        <f t="shared" si="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9">
        <f>INDEX(products!$A$1:$G$49,MATCH(orders!$D587,products!$A$1:$A$49,0),MATCH(orders!K$1,products!$A$1:$G$1,0))</f>
        <v>0.5</v>
      </c>
      <c r="L587" s="5">
        <f>INDEX(products!$A$1:$G$49,MATCH(orders!$D587,products!$A$1:$A$49,0),MATCH(orders!L$1,products!$A$1:$G$1,0))</f>
        <v>8.25</v>
      </c>
      <c r="M587">
        <f>L587*E587</f>
        <v>16.5</v>
      </c>
      <c r="N587" t="str">
        <f>IF(I587="Rob","Robusta",IF(I587="Exc","Excelsa",IF(I587="Ara","Arabica",IF(I587="Lib","Liberica",""))))</f>
        <v>Excelsa</v>
      </c>
      <c r="O587" t="str">
        <f t="shared" si="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f>_xlfn.XLOOKUP(C588,customers!$A$1:$A$1001,customers!$C$1:$C$1001,,0)</f>
        <v>0</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9">
        <f>INDEX(products!$A$1:$G$49,MATCH(orders!$D588,products!$A$1:$A$49,0),MATCH(orders!K$1,products!$A$1:$G$1,0))</f>
        <v>2.5</v>
      </c>
      <c r="L588" s="5">
        <f>INDEX(products!$A$1:$G$49,MATCH(orders!$D588,products!$A$1:$A$49,0),MATCH(orders!L$1,products!$A$1:$G$1,0))</f>
        <v>27.484999999999996</v>
      </c>
      <c r="M588">
        <f>L588*E588</f>
        <v>82.454999999999984</v>
      </c>
      <c r="N588" t="str">
        <f>IF(I588="Rob","Robusta",IF(I588="Exc","Excelsa",IF(I588="Ara","Arabica",IF(I588="Lib","Liberica",""))))</f>
        <v>Robusta</v>
      </c>
      <c r="O588" t="str">
        <f t="shared" si="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9">
        <f>INDEX(products!$A$1:$G$49,MATCH(orders!$D589,products!$A$1:$A$49,0),MATCH(orders!K$1,products!$A$1:$G$1,0))</f>
        <v>0.5</v>
      </c>
      <c r="L589" s="5">
        <f>INDEX(products!$A$1:$G$49,MATCH(orders!$D589,products!$A$1:$A$49,0),MATCH(orders!L$1,products!$A$1:$G$1,0))</f>
        <v>7.77</v>
      </c>
      <c r="M589">
        <f>L589*E589</f>
        <v>7.77</v>
      </c>
      <c r="N589" t="str">
        <f>IF(I589="Rob","Robusta",IF(I589="Exc","Excelsa",IF(I589="Ara","Arabica",IF(I589="Lib","Liberica",""))))</f>
        <v>Liberica</v>
      </c>
      <c r="O589" t="str">
        <f t="shared" si="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9">
        <f>INDEX(products!$A$1:$G$49,MATCH(orders!$D590,products!$A$1:$A$49,0),MATCH(orders!K$1,products!$A$1:$G$1,0))</f>
        <v>0.5</v>
      </c>
      <c r="L590" s="5">
        <f>INDEX(products!$A$1:$G$49,MATCH(orders!$D590,products!$A$1:$A$49,0),MATCH(orders!L$1,products!$A$1:$G$1,0))</f>
        <v>5.97</v>
      </c>
      <c r="M590">
        <f>L590*E590</f>
        <v>11.94</v>
      </c>
      <c r="N590" t="str">
        <f>IF(I590="Rob","Robusta",IF(I590="Exc","Excelsa",IF(I590="Ara","Arabica",IF(I590="Lib","Liberica",""))))</f>
        <v>Robusta</v>
      </c>
      <c r="O590" t="str">
        <f t="shared" si="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9">
        <f>INDEX(products!$A$1:$G$49,MATCH(orders!$D591,products!$A$1:$A$49,0),MATCH(orders!K$1,products!$A$1:$G$1,0))</f>
        <v>2.5</v>
      </c>
      <c r="L591" s="5">
        <f>INDEX(products!$A$1:$G$49,MATCH(orders!$D591,products!$A$1:$A$49,0),MATCH(orders!L$1,products!$A$1:$G$1,0))</f>
        <v>34.154999999999994</v>
      </c>
      <c r="M591">
        <f>L591*E591</f>
        <v>204.92999999999995</v>
      </c>
      <c r="N591" t="str">
        <f>IF(I591="Rob","Robusta",IF(I591="Exc","Excelsa",IF(I591="Ara","Arabica",IF(I591="Lib","Liberica",""))))</f>
        <v>Excelsa</v>
      </c>
      <c r="O591" t="str">
        <f t="shared" si="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9">
        <f>INDEX(products!$A$1:$G$49,MATCH(orders!$D592,products!$A$1:$A$49,0),MATCH(orders!K$1,products!$A$1:$G$1,0))</f>
        <v>2.5</v>
      </c>
      <c r="L592" s="5">
        <f>INDEX(products!$A$1:$G$49,MATCH(orders!$D592,products!$A$1:$A$49,0),MATCH(orders!L$1,products!$A$1:$G$1,0))</f>
        <v>31.624999999999996</v>
      </c>
      <c r="M592">
        <f>L592*E592</f>
        <v>63.249999999999993</v>
      </c>
      <c r="N592" t="str">
        <f>IF(I592="Rob","Robusta",IF(I592="Exc","Excelsa",IF(I592="Ara","Arabica",IF(I592="Lib","Liberica",""))))</f>
        <v>Excelsa</v>
      </c>
      <c r="O592" t="str">
        <f t="shared" si="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9">
        <f>INDEX(products!$A$1:$G$49,MATCH(orders!$D593,products!$A$1:$A$49,0),MATCH(orders!K$1,products!$A$1:$G$1,0))</f>
        <v>0.2</v>
      </c>
      <c r="L593" s="5">
        <f>INDEX(products!$A$1:$G$49,MATCH(orders!$D593,products!$A$1:$A$49,0),MATCH(orders!L$1,products!$A$1:$G$1,0))</f>
        <v>2.6849999999999996</v>
      </c>
      <c r="M593">
        <f>L593*E593</f>
        <v>8.0549999999999997</v>
      </c>
      <c r="N593" t="str">
        <f>IF(I593="Rob","Robusta",IF(I593="Exc","Excelsa",IF(I593="Ara","Arabica",IF(I593="Lib","Liberica",""))))</f>
        <v>Robusta</v>
      </c>
      <c r="O593" t="str">
        <f t="shared" si="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f>_xlfn.XLOOKUP(C594,customers!$A$1:$A$1001,customers!$C$1:$C$1001,,0)</f>
        <v>0</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9">
        <f>INDEX(products!$A$1:$G$49,MATCH(orders!$D594,products!$A$1:$A$49,0),MATCH(orders!K$1,products!$A$1:$G$1,0))</f>
        <v>2.5</v>
      </c>
      <c r="L594" s="5">
        <f>INDEX(products!$A$1:$G$49,MATCH(orders!$D594,products!$A$1:$A$49,0),MATCH(orders!L$1,products!$A$1:$G$1,0))</f>
        <v>25.874999999999996</v>
      </c>
      <c r="M594">
        <f>L594*E594</f>
        <v>51.749999999999993</v>
      </c>
      <c r="N594" t="str">
        <f>IF(I594="Rob","Robusta",IF(I594="Exc","Excelsa",IF(I594="Ara","Arabica",IF(I594="Lib","Liberica",""))))</f>
        <v>Arabica</v>
      </c>
      <c r="O594" t="str">
        <f t="shared" si="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9">
        <f>INDEX(products!$A$1:$G$49,MATCH(orders!$D595,products!$A$1:$A$49,0),MATCH(orders!K$1,products!$A$1:$G$1,0))</f>
        <v>2.5</v>
      </c>
      <c r="L595" s="5">
        <f>INDEX(products!$A$1:$G$49,MATCH(orders!$D595,products!$A$1:$A$49,0),MATCH(orders!L$1,products!$A$1:$G$1,0))</f>
        <v>27.945</v>
      </c>
      <c r="M595">
        <f>L595*E595</f>
        <v>27.945</v>
      </c>
      <c r="N595" t="str">
        <f>IF(I595="Rob","Robusta",IF(I595="Exc","Excelsa",IF(I595="Ara","Arabica",IF(I595="Lib","Liberica",""))))</f>
        <v>Excelsa</v>
      </c>
      <c r="O595" t="str">
        <f t="shared" si="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9">
        <f>INDEX(products!$A$1:$G$49,MATCH(orders!$D596,products!$A$1:$A$49,0),MATCH(orders!K$1,products!$A$1:$G$1,0))</f>
        <v>2.5</v>
      </c>
      <c r="L596" s="5">
        <f>INDEX(products!$A$1:$G$49,MATCH(orders!$D596,products!$A$1:$A$49,0),MATCH(orders!L$1,products!$A$1:$G$1,0))</f>
        <v>29.784999999999997</v>
      </c>
      <c r="M596">
        <f>L596*E596</f>
        <v>59.569999999999993</v>
      </c>
      <c r="N596" t="str">
        <f>IF(I596="Rob","Robusta",IF(I596="Exc","Excelsa",IF(I596="Ara","Arabica",IF(I596="Lib","Liberica",""))))</f>
        <v>Arabica</v>
      </c>
      <c r="O596" t="str">
        <f t="shared" si="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f>_xlfn.XLOOKUP(C597,customers!$A$1:$A$1001,customers!$C$1:$C$1001,,0)</f>
        <v>0</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9">
        <f>INDEX(products!$A$1:$G$49,MATCH(orders!$D597,products!$A$1:$A$49,0),MATCH(orders!K$1,products!$A$1:$G$1,0))</f>
        <v>1</v>
      </c>
      <c r="L597" s="5">
        <f>INDEX(products!$A$1:$G$49,MATCH(orders!$D597,products!$A$1:$A$49,0),MATCH(orders!L$1,products!$A$1:$G$1,0))</f>
        <v>14.85</v>
      </c>
      <c r="M597">
        <f>L597*E597</f>
        <v>14.85</v>
      </c>
      <c r="N597" t="str">
        <f>IF(I597="Rob","Robusta",IF(I597="Exc","Excelsa",IF(I597="Ara","Arabica",IF(I597="Lib","Liberica",""))))</f>
        <v>Excelsa</v>
      </c>
      <c r="O597" t="str">
        <f t="shared" si="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9">
        <f>INDEX(products!$A$1:$G$49,MATCH(orders!$D598,products!$A$1:$A$49,0),MATCH(orders!K$1,products!$A$1:$G$1,0))</f>
        <v>0.5</v>
      </c>
      <c r="L598" s="5">
        <f>INDEX(products!$A$1:$G$49,MATCH(orders!$D598,products!$A$1:$A$49,0),MATCH(orders!L$1,products!$A$1:$G$1,0))</f>
        <v>6.75</v>
      </c>
      <c r="M598">
        <f>L598*E598</f>
        <v>33.75</v>
      </c>
      <c r="N598" t="str">
        <f>IF(I598="Rob","Robusta",IF(I598="Exc","Excelsa",IF(I598="Ara","Arabica",IF(I598="Lib","Liberica",""))))</f>
        <v>Arabica</v>
      </c>
      <c r="O598" t="str">
        <f t="shared" si="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9">
        <f>INDEX(products!$A$1:$G$49,MATCH(orders!$D599,products!$A$1:$A$49,0),MATCH(orders!K$1,products!$A$1:$G$1,0))</f>
        <v>2.5</v>
      </c>
      <c r="L599" s="5">
        <f>INDEX(products!$A$1:$G$49,MATCH(orders!$D599,products!$A$1:$A$49,0),MATCH(orders!L$1,products!$A$1:$G$1,0))</f>
        <v>36.454999999999998</v>
      </c>
      <c r="M599">
        <f>L599*E599</f>
        <v>145.82</v>
      </c>
      <c r="N599" t="str">
        <f>IF(I599="Rob","Robusta",IF(I599="Exc","Excelsa",IF(I599="Ara","Arabica",IF(I599="Lib","Liberica",""))))</f>
        <v>Liberica</v>
      </c>
      <c r="O599" t="str">
        <f t="shared" si="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9">
        <f>INDEX(products!$A$1:$G$49,MATCH(orders!$D600,products!$A$1:$A$49,0),MATCH(orders!K$1,products!$A$1:$G$1,0))</f>
        <v>0.2</v>
      </c>
      <c r="L600" s="5">
        <f>INDEX(products!$A$1:$G$49,MATCH(orders!$D600,products!$A$1:$A$49,0),MATCH(orders!L$1,products!$A$1:$G$1,0))</f>
        <v>2.9849999999999999</v>
      </c>
      <c r="M600">
        <f>L600*E600</f>
        <v>11.94</v>
      </c>
      <c r="N600" t="str">
        <f>IF(I600="Rob","Robusta",IF(I600="Exc","Excelsa",IF(I600="Ara","Arabica",IF(I600="Lib","Liberica",""))))</f>
        <v>Robusta</v>
      </c>
      <c r="O600" t="str">
        <f t="shared" si="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9">
        <f>INDEX(products!$A$1:$G$49,MATCH(orders!$D601,products!$A$1:$A$49,0),MATCH(orders!K$1,products!$A$1:$G$1,0))</f>
        <v>0.2</v>
      </c>
      <c r="L601" s="5">
        <f>INDEX(products!$A$1:$G$49,MATCH(orders!$D601,products!$A$1:$A$49,0),MATCH(orders!L$1,products!$A$1:$G$1,0))</f>
        <v>2.9849999999999999</v>
      </c>
      <c r="M601">
        <f>L601*E601</f>
        <v>11.94</v>
      </c>
      <c r="N601" t="str">
        <f>IF(I601="Rob","Robusta",IF(I601="Exc","Excelsa",IF(I601="Ara","Arabica",IF(I601="Lib","Liberica",""))))</f>
        <v>Arabica</v>
      </c>
      <c r="O601" t="str">
        <f t="shared" si="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9">
        <f>INDEX(products!$A$1:$G$49,MATCH(orders!$D602,products!$A$1:$A$49,0),MATCH(orders!K$1,products!$A$1:$G$1,0))</f>
        <v>0.5</v>
      </c>
      <c r="L602" s="5">
        <f>INDEX(products!$A$1:$G$49,MATCH(orders!$D602,products!$A$1:$A$49,0),MATCH(orders!L$1,products!$A$1:$G$1,0))</f>
        <v>7.77</v>
      </c>
      <c r="M602">
        <f>L602*E602</f>
        <v>7.77</v>
      </c>
      <c r="N602" t="str">
        <f>IF(I602="Rob","Robusta",IF(I602="Exc","Excelsa",IF(I602="Ara","Arabica",IF(I602="Lib","Liberica",""))))</f>
        <v>Liberica</v>
      </c>
      <c r="O602" t="str">
        <f t="shared" si="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9">
        <f>INDEX(products!$A$1:$G$49,MATCH(orders!$D603,products!$A$1:$A$49,0),MATCH(orders!K$1,products!$A$1:$G$1,0))</f>
        <v>2.5</v>
      </c>
      <c r="L603" s="5">
        <f>INDEX(products!$A$1:$G$49,MATCH(orders!$D603,products!$A$1:$A$49,0),MATCH(orders!L$1,products!$A$1:$G$1,0))</f>
        <v>27.484999999999996</v>
      </c>
      <c r="M603">
        <f>L603*E603</f>
        <v>109.93999999999998</v>
      </c>
      <c r="N603" t="str">
        <f>IF(I603="Rob","Robusta",IF(I603="Exc","Excelsa",IF(I603="Ara","Arabica",IF(I603="Lib","Liberica",""))))</f>
        <v>Robusta</v>
      </c>
      <c r="O603" t="str">
        <f t="shared" si="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9">
        <f>INDEX(products!$A$1:$G$49,MATCH(orders!$D604,products!$A$1:$A$49,0),MATCH(orders!K$1,products!$A$1:$G$1,0))</f>
        <v>0.2</v>
      </c>
      <c r="L604" s="5">
        <f>INDEX(products!$A$1:$G$49,MATCH(orders!$D604,products!$A$1:$A$49,0),MATCH(orders!L$1,products!$A$1:$G$1,0))</f>
        <v>4.4550000000000001</v>
      </c>
      <c r="M604">
        <f>L604*E604</f>
        <v>22.274999999999999</v>
      </c>
      <c r="N604" t="str">
        <f>IF(I604="Rob","Robusta",IF(I604="Exc","Excelsa",IF(I604="Ara","Arabica",IF(I604="Lib","Liberica",""))))</f>
        <v>Excelsa</v>
      </c>
      <c r="O604" t="str">
        <f t="shared" si="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9">
        <f>INDEX(products!$A$1:$G$49,MATCH(orders!$D605,products!$A$1:$A$49,0),MATCH(orders!K$1,products!$A$1:$G$1,0))</f>
        <v>0.2</v>
      </c>
      <c r="L605" s="5">
        <f>INDEX(products!$A$1:$G$49,MATCH(orders!$D605,products!$A$1:$A$49,0),MATCH(orders!L$1,products!$A$1:$G$1,0))</f>
        <v>2.9849999999999999</v>
      </c>
      <c r="M605">
        <f>L605*E605</f>
        <v>8.9550000000000001</v>
      </c>
      <c r="N605" t="str">
        <f>IF(I605="Rob","Robusta",IF(I605="Exc","Excelsa",IF(I605="Ara","Arabica",IF(I605="Lib","Liberica",""))))</f>
        <v>Robusta</v>
      </c>
      <c r="O605" t="str">
        <f t="shared" si="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f>_xlfn.XLOOKUP(C606,customers!$A$1:$A$1001,customers!$C$1:$C$1001,,0)</f>
        <v>0</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9">
        <f>INDEX(products!$A$1:$G$49,MATCH(orders!$D606,products!$A$1:$A$49,0),MATCH(orders!K$1,products!$A$1:$G$1,0))</f>
        <v>2.5</v>
      </c>
      <c r="L606" s="5">
        <f>INDEX(products!$A$1:$G$49,MATCH(orders!$D606,products!$A$1:$A$49,0),MATCH(orders!L$1,products!$A$1:$G$1,0))</f>
        <v>29.784999999999997</v>
      </c>
      <c r="M606">
        <f>L606*E606</f>
        <v>119.13999999999999</v>
      </c>
      <c r="N606" t="str">
        <f>IF(I606="Rob","Robusta",IF(I606="Exc","Excelsa",IF(I606="Ara","Arabica",IF(I606="Lib","Liberica",""))))</f>
        <v>Liberica</v>
      </c>
      <c r="O606" t="str">
        <f t="shared" si="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9">
        <f>INDEX(products!$A$1:$G$49,MATCH(orders!$D607,products!$A$1:$A$49,0),MATCH(orders!K$1,products!$A$1:$G$1,0))</f>
        <v>2.5</v>
      </c>
      <c r="L607" s="5">
        <f>INDEX(products!$A$1:$G$49,MATCH(orders!$D607,products!$A$1:$A$49,0),MATCH(orders!L$1,products!$A$1:$G$1,0))</f>
        <v>29.784999999999997</v>
      </c>
      <c r="M607">
        <f>L607*E607</f>
        <v>148.92499999999998</v>
      </c>
      <c r="N607" t="str">
        <f>IF(I607="Rob","Robusta",IF(I607="Exc","Excelsa",IF(I607="Ara","Arabica",IF(I607="Lib","Liberica",""))))</f>
        <v>Arabica</v>
      </c>
      <c r="O607" t="str">
        <f t="shared" si="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9">
        <f>INDEX(products!$A$1:$G$49,MATCH(orders!$D608,products!$A$1:$A$49,0),MATCH(orders!K$1,products!$A$1:$G$1,0))</f>
        <v>2.5</v>
      </c>
      <c r="L608" s="5">
        <f>INDEX(products!$A$1:$G$49,MATCH(orders!$D608,products!$A$1:$A$49,0),MATCH(orders!L$1,products!$A$1:$G$1,0))</f>
        <v>36.454999999999998</v>
      </c>
      <c r="M608">
        <f>L608*E608</f>
        <v>109.36499999999999</v>
      </c>
      <c r="N608" t="str">
        <f>IF(I608="Rob","Robusta",IF(I608="Exc","Excelsa",IF(I608="Ara","Arabica",IF(I608="Lib","Liberica",""))))</f>
        <v>Liberica</v>
      </c>
      <c r="O608" t="str">
        <f t="shared" si="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9">
        <f>INDEX(products!$A$1:$G$49,MATCH(orders!$D609,products!$A$1:$A$49,0),MATCH(orders!K$1,products!$A$1:$G$1,0))</f>
        <v>0.2</v>
      </c>
      <c r="L609" s="5">
        <f>INDEX(products!$A$1:$G$49,MATCH(orders!$D609,products!$A$1:$A$49,0),MATCH(orders!L$1,products!$A$1:$G$1,0))</f>
        <v>3.645</v>
      </c>
      <c r="M609">
        <f>L609*E609</f>
        <v>3.645</v>
      </c>
      <c r="N609" t="str">
        <f>IF(I609="Rob","Robusta",IF(I609="Exc","Excelsa",IF(I609="Ara","Arabica",IF(I609="Lib","Liberica",""))))</f>
        <v>Excelsa</v>
      </c>
      <c r="O609" t="str">
        <f t="shared" si="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f>_xlfn.XLOOKUP(C610,customers!$A$1:$A$1001,customers!$C$1:$C$1001,,0)</f>
        <v>0</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9">
        <f>INDEX(products!$A$1:$G$49,MATCH(orders!$D610,products!$A$1:$A$49,0),MATCH(orders!K$1,products!$A$1:$G$1,0))</f>
        <v>2.5</v>
      </c>
      <c r="L610" s="5">
        <f>INDEX(products!$A$1:$G$49,MATCH(orders!$D610,products!$A$1:$A$49,0),MATCH(orders!L$1,products!$A$1:$G$1,0))</f>
        <v>27.945</v>
      </c>
      <c r="M610">
        <f>L610*E610</f>
        <v>55.89</v>
      </c>
      <c r="N610" t="str">
        <f>IF(I610="Rob","Robusta",IF(I610="Exc","Excelsa",IF(I610="Ara","Arabica",IF(I610="Lib","Liberica",""))))</f>
        <v>Excelsa</v>
      </c>
      <c r="O610" t="str">
        <f t="shared" si="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9">
        <f>INDEX(products!$A$1:$G$49,MATCH(orders!$D611,products!$A$1:$A$49,0),MATCH(orders!K$1,products!$A$1:$G$1,0))</f>
        <v>0.2</v>
      </c>
      <c r="L611" s="5">
        <f>INDEX(products!$A$1:$G$49,MATCH(orders!$D611,products!$A$1:$A$49,0),MATCH(orders!L$1,products!$A$1:$G$1,0))</f>
        <v>4.3650000000000002</v>
      </c>
      <c r="M611">
        <f>L611*E611</f>
        <v>26.19</v>
      </c>
      <c r="N611" t="str">
        <f>IF(I611="Rob","Robusta",IF(I611="Exc","Excelsa",IF(I611="Ara","Arabica",IF(I611="Lib","Liberica",""))))</f>
        <v>Liberica</v>
      </c>
      <c r="O611" t="str">
        <f t="shared" si="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9">
        <f>INDEX(products!$A$1:$G$49,MATCH(orders!$D612,products!$A$1:$A$49,0),MATCH(orders!K$1,products!$A$1:$G$1,0))</f>
        <v>1</v>
      </c>
      <c r="L612" s="5">
        <f>INDEX(products!$A$1:$G$49,MATCH(orders!$D612,products!$A$1:$A$49,0),MATCH(orders!L$1,products!$A$1:$G$1,0))</f>
        <v>9.9499999999999993</v>
      </c>
      <c r="M612">
        <f>L612*E612</f>
        <v>39.799999999999997</v>
      </c>
      <c r="N612" t="str">
        <f>IF(I612="Rob","Robusta",IF(I612="Exc","Excelsa",IF(I612="Ara","Arabica",IF(I612="Lib","Liberica",""))))</f>
        <v>Robusta</v>
      </c>
      <c r="O612" t="str">
        <f t="shared" si="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9">
        <f>INDEX(products!$A$1:$G$49,MATCH(orders!$D613,products!$A$1:$A$49,0),MATCH(orders!K$1,products!$A$1:$G$1,0))</f>
        <v>2.5</v>
      </c>
      <c r="L613" s="5">
        <f>INDEX(products!$A$1:$G$49,MATCH(orders!$D613,products!$A$1:$A$49,0),MATCH(orders!L$1,products!$A$1:$G$1,0))</f>
        <v>34.154999999999994</v>
      </c>
      <c r="M613">
        <f>L613*E613</f>
        <v>68.309999999999988</v>
      </c>
      <c r="N613" t="str">
        <f>IF(I613="Rob","Robusta",IF(I613="Exc","Excelsa",IF(I613="Ara","Arabica",IF(I613="Lib","Liberica",""))))</f>
        <v>Excelsa</v>
      </c>
      <c r="O613" t="str">
        <f t="shared" si="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f>_xlfn.XLOOKUP(C614,customers!$A$1:$A$1001,customers!$C$1:$C$1001,,0)</f>
        <v>0</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9">
        <f>INDEX(products!$A$1:$G$49,MATCH(orders!$D614,products!$A$1:$A$49,0),MATCH(orders!K$1,products!$A$1:$G$1,0))</f>
        <v>0.2</v>
      </c>
      <c r="L614" s="5">
        <f>INDEX(products!$A$1:$G$49,MATCH(orders!$D614,products!$A$1:$A$49,0),MATCH(orders!L$1,products!$A$1:$G$1,0))</f>
        <v>3.375</v>
      </c>
      <c r="M614">
        <f>L614*E614</f>
        <v>13.5</v>
      </c>
      <c r="N614" t="str">
        <f>IF(I614="Rob","Robusta",IF(I614="Exc","Excelsa",IF(I614="Ara","Arabica",IF(I614="Lib","Liberica",""))))</f>
        <v>Arabica</v>
      </c>
      <c r="O614" t="str">
        <f t="shared" si="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f>_xlfn.XLOOKUP(C615,customers!$A$1:$A$1001,customers!$C$1:$C$1001,,0)</f>
        <v>0</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9">
        <f>INDEX(products!$A$1:$G$49,MATCH(orders!$D615,products!$A$1:$A$49,0),MATCH(orders!K$1,products!$A$1:$G$1,0))</f>
        <v>0.5</v>
      </c>
      <c r="L615" s="5">
        <f>INDEX(products!$A$1:$G$49,MATCH(orders!$D615,products!$A$1:$A$49,0),MATCH(orders!L$1,products!$A$1:$G$1,0))</f>
        <v>5.97</v>
      </c>
      <c r="M615">
        <f>L615*E615</f>
        <v>5.97</v>
      </c>
      <c r="N615" t="str">
        <f>IF(I615="Rob","Robusta",IF(I615="Exc","Excelsa",IF(I615="Ara","Arabica",IF(I615="Lib","Liberica",""))))</f>
        <v>Robusta</v>
      </c>
      <c r="O615" t="str">
        <f t="shared" si="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9">
        <f>INDEX(products!$A$1:$G$49,MATCH(orders!$D616,products!$A$1:$A$49,0),MATCH(orders!K$1,products!$A$1:$G$1,0))</f>
        <v>0.5</v>
      </c>
      <c r="L616" s="5">
        <f>INDEX(products!$A$1:$G$49,MATCH(orders!$D616,products!$A$1:$A$49,0),MATCH(orders!L$1,products!$A$1:$G$1,0))</f>
        <v>5.97</v>
      </c>
      <c r="M616">
        <f>L616*E616</f>
        <v>29.849999999999998</v>
      </c>
      <c r="N616" t="str">
        <f>IF(I616="Rob","Robusta",IF(I616="Exc","Excelsa",IF(I616="Ara","Arabica",IF(I616="Lib","Liberica",""))))</f>
        <v>Robusta</v>
      </c>
      <c r="O616" t="str">
        <f t="shared" si="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9">
        <f>INDEX(products!$A$1:$G$49,MATCH(orders!$D617,products!$A$1:$A$49,0),MATCH(orders!K$1,products!$A$1:$G$1,0))</f>
        <v>2.5</v>
      </c>
      <c r="L617" s="5">
        <f>INDEX(products!$A$1:$G$49,MATCH(orders!$D617,products!$A$1:$A$49,0),MATCH(orders!L$1,products!$A$1:$G$1,0))</f>
        <v>36.454999999999998</v>
      </c>
      <c r="M617">
        <f>L617*E617</f>
        <v>72.91</v>
      </c>
      <c r="N617" t="str">
        <f>IF(I617="Rob","Robusta",IF(I617="Exc","Excelsa",IF(I617="Ara","Arabica",IF(I617="Lib","Liberica",""))))</f>
        <v>Liberica</v>
      </c>
      <c r="O617" t="str">
        <f t="shared" si="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9">
        <f>INDEX(products!$A$1:$G$49,MATCH(orders!$D618,products!$A$1:$A$49,0),MATCH(orders!K$1,products!$A$1:$G$1,0))</f>
        <v>2.5</v>
      </c>
      <c r="L618" s="5">
        <f>INDEX(products!$A$1:$G$49,MATCH(orders!$D618,products!$A$1:$A$49,0),MATCH(orders!L$1,products!$A$1:$G$1,0))</f>
        <v>31.624999999999996</v>
      </c>
      <c r="M618">
        <f>L618*E618</f>
        <v>126.49999999999999</v>
      </c>
      <c r="N618" t="str">
        <f>IF(I618="Rob","Robusta",IF(I618="Exc","Excelsa",IF(I618="Ara","Arabica",IF(I618="Lib","Liberica",""))))</f>
        <v>Excelsa</v>
      </c>
      <c r="O618" t="str">
        <f t="shared" si="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9">
        <f>INDEX(products!$A$1:$G$49,MATCH(orders!$D619,products!$A$1:$A$49,0),MATCH(orders!K$1,products!$A$1:$G$1,0))</f>
        <v>2.5</v>
      </c>
      <c r="L619" s="5">
        <f>INDEX(products!$A$1:$G$49,MATCH(orders!$D619,products!$A$1:$A$49,0),MATCH(orders!L$1,products!$A$1:$G$1,0))</f>
        <v>33.464999999999996</v>
      </c>
      <c r="M619">
        <f>L619*E619</f>
        <v>33.464999999999996</v>
      </c>
      <c r="N619" t="str">
        <f>IF(I619="Rob","Robusta",IF(I619="Exc","Excelsa",IF(I619="Ara","Arabica",IF(I619="Lib","Liberica",""))))</f>
        <v>Liberica</v>
      </c>
      <c r="O619" t="str">
        <f t="shared" si="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9">
        <f>INDEX(products!$A$1:$G$49,MATCH(orders!$D620,products!$A$1:$A$49,0),MATCH(orders!K$1,products!$A$1:$G$1,0))</f>
        <v>1</v>
      </c>
      <c r="L620" s="5">
        <f>INDEX(products!$A$1:$G$49,MATCH(orders!$D620,products!$A$1:$A$49,0),MATCH(orders!L$1,products!$A$1:$G$1,0))</f>
        <v>12.15</v>
      </c>
      <c r="M620">
        <f>L620*E620</f>
        <v>72.900000000000006</v>
      </c>
      <c r="N620" t="str">
        <f>IF(I620="Rob","Robusta",IF(I620="Exc","Excelsa",IF(I620="Ara","Arabica",IF(I620="Lib","Liberica",""))))</f>
        <v>Excelsa</v>
      </c>
      <c r="O620" t="str">
        <f t="shared" si="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9">
        <f>INDEX(products!$A$1:$G$49,MATCH(orders!$D621,products!$A$1:$A$49,0),MATCH(orders!K$1,products!$A$1:$G$1,0))</f>
        <v>0.5</v>
      </c>
      <c r="L621" s="5">
        <f>INDEX(products!$A$1:$G$49,MATCH(orders!$D621,products!$A$1:$A$49,0),MATCH(orders!L$1,products!$A$1:$G$1,0))</f>
        <v>7.77</v>
      </c>
      <c r="M621">
        <f>L621*E621</f>
        <v>15.54</v>
      </c>
      <c r="N621" t="str">
        <f>IF(I621="Rob","Robusta",IF(I621="Exc","Excelsa",IF(I621="Ara","Arabica",IF(I621="Lib","Liberica",""))))</f>
        <v>Liberica</v>
      </c>
      <c r="O621" t="str">
        <f t="shared" si="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9">
        <f>INDEX(products!$A$1:$G$49,MATCH(orders!$D622,products!$A$1:$A$49,0),MATCH(orders!K$1,products!$A$1:$G$1,0))</f>
        <v>0.2</v>
      </c>
      <c r="L622" s="5">
        <f>INDEX(products!$A$1:$G$49,MATCH(orders!$D622,products!$A$1:$A$49,0),MATCH(orders!L$1,products!$A$1:$G$1,0))</f>
        <v>3.375</v>
      </c>
      <c r="M622">
        <f>L622*E622</f>
        <v>20.25</v>
      </c>
      <c r="N622" t="str">
        <f>IF(I622="Rob","Robusta",IF(I622="Exc","Excelsa",IF(I622="Ara","Arabica",IF(I622="Lib","Liberica",""))))</f>
        <v>Arabica</v>
      </c>
      <c r="O622" t="str">
        <f t="shared" si="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9">
        <f>INDEX(products!$A$1:$G$49,MATCH(orders!$D623,products!$A$1:$A$49,0),MATCH(orders!K$1,products!$A$1:$G$1,0))</f>
        <v>1</v>
      </c>
      <c r="L623" s="5">
        <f>INDEX(products!$A$1:$G$49,MATCH(orders!$D623,products!$A$1:$A$49,0),MATCH(orders!L$1,products!$A$1:$G$1,0))</f>
        <v>12.95</v>
      </c>
      <c r="M623">
        <f>L623*E623</f>
        <v>77.699999999999989</v>
      </c>
      <c r="N623" t="str">
        <f>IF(I623="Rob","Robusta",IF(I623="Exc","Excelsa",IF(I623="Ara","Arabica",IF(I623="Lib","Liberica",""))))</f>
        <v>Arabica</v>
      </c>
      <c r="O623" t="str">
        <f t="shared" si="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9">
        <f>INDEX(products!$A$1:$G$49,MATCH(orders!$D624,products!$A$1:$A$49,0),MATCH(orders!K$1,products!$A$1:$G$1,0))</f>
        <v>2.5</v>
      </c>
      <c r="L624" s="5">
        <f>INDEX(products!$A$1:$G$49,MATCH(orders!$D624,products!$A$1:$A$49,0),MATCH(orders!L$1,products!$A$1:$G$1,0))</f>
        <v>33.464999999999996</v>
      </c>
      <c r="M624">
        <f>L624*E624</f>
        <v>133.85999999999999</v>
      </c>
      <c r="N624" t="str">
        <f>IF(I624="Rob","Robusta",IF(I624="Exc","Excelsa",IF(I624="Ara","Arabica",IF(I624="Lib","Liberica",""))))</f>
        <v>Liberica</v>
      </c>
      <c r="O624" t="str">
        <f t="shared" si="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f>_xlfn.XLOOKUP(C625,customers!$A$1:$A$1001,customers!$C$1:$C$1001,,0)</f>
        <v>0</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9">
        <f>INDEX(products!$A$1:$G$49,MATCH(orders!$D625,products!$A$1:$A$49,0),MATCH(orders!K$1,products!$A$1:$G$1,0))</f>
        <v>1</v>
      </c>
      <c r="L625" s="5">
        <f>INDEX(products!$A$1:$G$49,MATCH(orders!$D625,products!$A$1:$A$49,0),MATCH(orders!L$1,products!$A$1:$G$1,0))</f>
        <v>12.15</v>
      </c>
      <c r="M625">
        <f>L625*E625</f>
        <v>12.15</v>
      </c>
      <c r="N625" t="str">
        <f>IF(I625="Rob","Robusta",IF(I625="Exc","Excelsa",IF(I625="Ara","Arabica",IF(I625="Lib","Liberica",""))))</f>
        <v>Excelsa</v>
      </c>
      <c r="O625" t="str">
        <f t="shared" si="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9">
        <f>INDEX(products!$A$1:$G$49,MATCH(orders!$D626,products!$A$1:$A$49,0),MATCH(orders!K$1,products!$A$1:$G$1,0))</f>
        <v>2.5</v>
      </c>
      <c r="L626" s="5">
        <f>INDEX(products!$A$1:$G$49,MATCH(orders!$D626,products!$A$1:$A$49,0),MATCH(orders!L$1,products!$A$1:$G$1,0))</f>
        <v>31.624999999999996</v>
      </c>
      <c r="M626">
        <f>L626*E626</f>
        <v>63.249999999999993</v>
      </c>
      <c r="N626" t="str">
        <f>IF(I626="Rob","Robusta",IF(I626="Exc","Excelsa",IF(I626="Ara","Arabica",IF(I626="Lib","Liberica",""))))</f>
        <v>Excelsa</v>
      </c>
      <c r="O626" t="str">
        <f t="shared" si="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9">
        <f>INDEX(products!$A$1:$G$49,MATCH(orders!$D627,products!$A$1:$A$49,0),MATCH(orders!K$1,products!$A$1:$G$1,0))</f>
        <v>0.5</v>
      </c>
      <c r="L627" s="5">
        <f>INDEX(products!$A$1:$G$49,MATCH(orders!$D627,products!$A$1:$A$49,0),MATCH(orders!L$1,products!$A$1:$G$1,0))</f>
        <v>7.169999999999999</v>
      </c>
      <c r="M627">
        <f>L627*E627</f>
        <v>35.849999999999994</v>
      </c>
      <c r="N627" t="str">
        <f>IF(I627="Rob","Robusta",IF(I627="Exc","Excelsa",IF(I627="Ara","Arabica",IF(I627="Lib","Liberica",""))))</f>
        <v>Robusta</v>
      </c>
      <c r="O627" t="str">
        <f t="shared" si="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9">
        <f>INDEX(products!$A$1:$G$49,MATCH(orders!$D628,products!$A$1:$A$49,0),MATCH(orders!K$1,products!$A$1:$G$1,0))</f>
        <v>2.5</v>
      </c>
      <c r="L628" s="5">
        <f>INDEX(products!$A$1:$G$49,MATCH(orders!$D628,products!$A$1:$A$49,0),MATCH(orders!L$1,products!$A$1:$G$1,0))</f>
        <v>25.874999999999996</v>
      </c>
      <c r="M628">
        <f>L628*E628</f>
        <v>77.624999999999986</v>
      </c>
      <c r="N628" t="str">
        <f>IF(I628="Rob","Robusta",IF(I628="Exc","Excelsa",IF(I628="Ara","Arabica",IF(I628="Lib","Liberica",""))))</f>
        <v>Arabica</v>
      </c>
      <c r="O628" t="str">
        <f t="shared" si="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9">
        <f>INDEX(products!$A$1:$G$49,MATCH(orders!$D629,products!$A$1:$A$49,0),MATCH(orders!K$1,products!$A$1:$G$1,0))</f>
        <v>2.5</v>
      </c>
      <c r="L629" s="5">
        <f>INDEX(products!$A$1:$G$49,MATCH(orders!$D629,products!$A$1:$A$49,0),MATCH(orders!L$1,products!$A$1:$G$1,0))</f>
        <v>31.624999999999996</v>
      </c>
      <c r="M629">
        <f>L629*E629</f>
        <v>63.249999999999993</v>
      </c>
      <c r="N629" t="str">
        <f>IF(I629="Rob","Robusta",IF(I629="Exc","Excelsa",IF(I629="Ara","Arabica",IF(I629="Lib","Liberica",""))))</f>
        <v>Excelsa</v>
      </c>
      <c r="O629" t="str">
        <f t="shared" si="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9">
        <f>INDEX(products!$A$1:$G$49,MATCH(orders!$D630,products!$A$1:$A$49,0),MATCH(orders!K$1,products!$A$1:$G$1,0))</f>
        <v>0.2</v>
      </c>
      <c r="L630" s="5">
        <f>INDEX(products!$A$1:$G$49,MATCH(orders!$D630,products!$A$1:$A$49,0),MATCH(orders!L$1,products!$A$1:$G$1,0))</f>
        <v>4.4550000000000001</v>
      </c>
      <c r="M630">
        <f>L630*E630</f>
        <v>26.73</v>
      </c>
      <c r="N630" t="str">
        <f>IF(I630="Rob","Robusta",IF(I630="Exc","Excelsa",IF(I630="Ara","Arabica",IF(I630="Lib","Liberica",""))))</f>
        <v>Excelsa</v>
      </c>
      <c r="O630" t="str">
        <f t="shared" si="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9">
        <f>INDEX(products!$A$1:$G$49,MATCH(orders!$D631,products!$A$1:$A$49,0),MATCH(orders!K$1,products!$A$1:$G$1,0))</f>
        <v>0.5</v>
      </c>
      <c r="L631" s="5">
        <f>INDEX(products!$A$1:$G$49,MATCH(orders!$D631,products!$A$1:$A$49,0),MATCH(orders!L$1,products!$A$1:$G$1,0))</f>
        <v>7.77</v>
      </c>
      <c r="M631">
        <f>L631*E631</f>
        <v>31.08</v>
      </c>
      <c r="N631" t="str">
        <f>IF(I631="Rob","Robusta",IF(I631="Exc","Excelsa",IF(I631="Ara","Arabica",IF(I631="Lib","Liberica",""))))</f>
        <v>Liberica</v>
      </c>
      <c r="O631" t="str">
        <f t="shared" si="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9">
        <f>INDEX(products!$A$1:$G$49,MATCH(orders!$D632,products!$A$1:$A$49,0),MATCH(orders!K$1,products!$A$1:$G$1,0))</f>
        <v>0.2</v>
      </c>
      <c r="L632" s="5">
        <f>INDEX(products!$A$1:$G$49,MATCH(orders!$D632,products!$A$1:$A$49,0),MATCH(orders!L$1,products!$A$1:$G$1,0))</f>
        <v>2.9849999999999999</v>
      </c>
      <c r="M632">
        <f>L632*E632</f>
        <v>2.9849999999999999</v>
      </c>
      <c r="N632" t="str">
        <f>IF(I632="Rob","Robusta",IF(I632="Exc","Excelsa",IF(I632="Ara","Arabica",IF(I632="Lib","Liberica",""))))</f>
        <v>Arabica</v>
      </c>
      <c r="O632" t="str">
        <f t="shared" si="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9">
        <f>INDEX(products!$A$1:$G$49,MATCH(orders!$D633,products!$A$1:$A$49,0),MATCH(orders!K$1,products!$A$1:$G$1,0))</f>
        <v>2.5</v>
      </c>
      <c r="L633" s="5">
        <f>INDEX(products!$A$1:$G$49,MATCH(orders!$D633,products!$A$1:$A$49,0),MATCH(orders!L$1,products!$A$1:$G$1,0))</f>
        <v>20.584999999999997</v>
      </c>
      <c r="M633">
        <f>L633*E633</f>
        <v>102.92499999999998</v>
      </c>
      <c r="N633" t="str">
        <f>IF(I633="Rob","Robusta",IF(I633="Exc","Excelsa",IF(I633="Ara","Arabica",IF(I633="Lib","Liberica",""))))</f>
        <v>Robusta</v>
      </c>
      <c r="O633" t="str">
        <f t="shared" si="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9">
        <f>INDEX(products!$A$1:$G$49,MATCH(orders!$D634,products!$A$1:$A$49,0),MATCH(orders!K$1,products!$A$1:$G$1,0))</f>
        <v>0.5</v>
      </c>
      <c r="L634" s="5">
        <f>INDEX(products!$A$1:$G$49,MATCH(orders!$D634,products!$A$1:$A$49,0),MATCH(orders!L$1,products!$A$1:$G$1,0))</f>
        <v>8.91</v>
      </c>
      <c r="M634">
        <f>L634*E634</f>
        <v>35.64</v>
      </c>
      <c r="N634" t="str">
        <f>IF(I634="Rob","Robusta",IF(I634="Exc","Excelsa",IF(I634="Ara","Arabica",IF(I634="Lib","Liberica",""))))</f>
        <v>Excelsa</v>
      </c>
      <c r="O634" t="str">
        <f t="shared" si="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9">
        <f>INDEX(products!$A$1:$G$49,MATCH(orders!$D635,products!$A$1:$A$49,0),MATCH(orders!K$1,products!$A$1:$G$1,0))</f>
        <v>1</v>
      </c>
      <c r="L635" s="5">
        <f>INDEX(products!$A$1:$G$49,MATCH(orders!$D635,products!$A$1:$A$49,0),MATCH(orders!L$1,products!$A$1:$G$1,0))</f>
        <v>11.95</v>
      </c>
      <c r="M635">
        <f>L635*E635</f>
        <v>47.8</v>
      </c>
      <c r="N635" t="str">
        <f>IF(I635="Rob","Robusta",IF(I635="Exc","Excelsa",IF(I635="Ara","Arabica",IF(I635="Lib","Liberica",""))))</f>
        <v>Robusta</v>
      </c>
      <c r="O635" t="str">
        <f t="shared" si="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9">
        <f>INDEX(products!$A$1:$G$49,MATCH(orders!$D636,products!$A$1:$A$49,0),MATCH(orders!K$1,products!$A$1:$G$1,0))</f>
        <v>1</v>
      </c>
      <c r="L636" s="5">
        <f>INDEX(products!$A$1:$G$49,MATCH(orders!$D636,products!$A$1:$A$49,0),MATCH(orders!L$1,products!$A$1:$G$1,0))</f>
        <v>14.55</v>
      </c>
      <c r="M636">
        <f>L636*E636</f>
        <v>43.650000000000006</v>
      </c>
      <c r="N636" t="str">
        <f>IF(I636="Rob","Robusta",IF(I636="Exc","Excelsa",IF(I636="Ara","Arabica",IF(I636="Lib","Liberica",""))))</f>
        <v>Liberica</v>
      </c>
      <c r="O636" t="str">
        <f t="shared" si="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9">
        <f>INDEX(products!$A$1:$G$49,MATCH(orders!$D637,products!$A$1:$A$49,0),MATCH(orders!K$1,products!$A$1:$G$1,0))</f>
        <v>0.5</v>
      </c>
      <c r="L637" s="5">
        <f>INDEX(products!$A$1:$G$49,MATCH(orders!$D637,products!$A$1:$A$49,0),MATCH(orders!L$1,products!$A$1:$G$1,0))</f>
        <v>8.91</v>
      </c>
      <c r="M637">
        <f>L637*E637</f>
        <v>35.64</v>
      </c>
      <c r="N637" t="str">
        <f>IF(I637="Rob","Robusta",IF(I637="Exc","Excelsa",IF(I637="Ara","Arabica",IF(I637="Lib","Liberica",""))))</f>
        <v>Excelsa</v>
      </c>
      <c r="O637" t="str">
        <f t="shared" si="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9">
        <f>INDEX(products!$A$1:$G$49,MATCH(orders!$D638,products!$A$1:$A$49,0),MATCH(orders!K$1,products!$A$1:$G$1,0))</f>
        <v>1</v>
      </c>
      <c r="L638" s="5">
        <f>INDEX(products!$A$1:$G$49,MATCH(orders!$D638,products!$A$1:$A$49,0),MATCH(orders!L$1,products!$A$1:$G$1,0))</f>
        <v>15.85</v>
      </c>
      <c r="M638">
        <f>L638*E638</f>
        <v>95.1</v>
      </c>
      <c r="N638" t="str">
        <f>IF(I638="Rob","Robusta",IF(I638="Exc","Excelsa",IF(I638="Ara","Arabica",IF(I638="Lib","Liberica",""))))</f>
        <v>Liberica</v>
      </c>
      <c r="O638" t="str">
        <f t="shared" si="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9">
        <f>INDEX(products!$A$1:$G$49,MATCH(orders!$D639,products!$A$1:$A$49,0),MATCH(orders!K$1,products!$A$1:$G$1,0))</f>
        <v>2.5</v>
      </c>
      <c r="L639" s="5">
        <f>INDEX(products!$A$1:$G$49,MATCH(orders!$D639,products!$A$1:$A$49,0),MATCH(orders!L$1,products!$A$1:$G$1,0))</f>
        <v>31.624999999999996</v>
      </c>
      <c r="M639">
        <f>L639*E639</f>
        <v>31.624999999999996</v>
      </c>
      <c r="N639" t="str">
        <f>IF(I639="Rob","Robusta",IF(I639="Exc","Excelsa",IF(I639="Ara","Arabica",IF(I639="Lib","Liberica",""))))</f>
        <v>Excelsa</v>
      </c>
      <c r="O639" t="str">
        <f t="shared" si="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f>_xlfn.XLOOKUP(C640,customers!$A$1:$A$1001,customers!$C$1:$C$1001,,0)</f>
        <v>0</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9">
        <f>INDEX(products!$A$1:$G$49,MATCH(orders!$D640,products!$A$1:$A$49,0),MATCH(orders!K$1,products!$A$1:$G$1,0))</f>
        <v>2.5</v>
      </c>
      <c r="L640" s="5">
        <f>INDEX(products!$A$1:$G$49,MATCH(orders!$D640,products!$A$1:$A$49,0),MATCH(orders!L$1,products!$A$1:$G$1,0))</f>
        <v>25.874999999999996</v>
      </c>
      <c r="M640">
        <f>L640*E640</f>
        <v>77.624999999999986</v>
      </c>
      <c r="N640" t="str">
        <f>IF(I640="Rob","Robusta",IF(I640="Exc","Excelsa",IF(I640="Ara","Arabica",IF(I640="Lib","Liberica",""))))</f>
        <v>Arabica</v>
      </c>
      <c r="O640" t="str">
        <f t="shared" si="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9">
        <f>INDEX(products!$A$1:$G$49,MATCH(orders!$D641,products!$A$1:$A$49,0),MATCH(orders!K$1,products!$A$1:$G$1,0))</f>
        <v>0.2</v>
      </c>
      <c r="L641" s="5">
        <f>INDEX(products!$A$1:$G$49,MATCH(orders!$D641,products!$A$1:$A$49,0),MATCH(orders!L$1,products!$A$1:$G$1,0))</f>
        <v>3.8849999999999998</v>
      </c>
      <c r="M641">
        <f>L641*E641</f>
        <v>3.8849999999999998</v>
      </c>
      <c r="N641" t="str">
        <f>IF(I641="Rob","Robusta",IF(I641="Exc","Excelsa",IF(I641="Ara","Arabica",IF(I641="Lib","Liberica",""))))</f>
        <v>Liberica</v>
      </c>
      <c r="O641" t="str">
        <f t="shared" si="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9">
        <f>INDEX(products!$A$1:$G$49,MATCH(orders!$D642,products!$A$1:$A$49,0),MATCH(orders!K$1,products!$A$1:$G$1,0))</f>
        <v>2.5</v>
      </c>
      <c r="L642" s="5">
        <f>INDEX(products!$A$1:$G$49,MATCH(orders!$D642,products!$A$1:$A$49,0),MATCH(orders!L$1,products!$A$1:$G$1,0))</f>
        <v>27.484999999999996</v>
      </c>
      <c r="M642">
        <f>L642*E642</f>
        <v>137.42499999999998</v>
      </c>
      <c r="N642" t="str">
        <f>IF(I642="Rob","Robusta",IF(I642="Exc","Excelsa",IF(I642="Ara","Arabica",IF(I642="Lib","Liberica",""))))</f>
        <v>Robusta</v>
      </c>
      <c r="O642" t="str">
        <f t="shared" si="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9">
        <f>INDEX(products!$A$1:$G$49,MATCH(orders!$D643,products!$A$1:$A$49,0),MATCH(orders!K$1,products!$A$1:$G$1,0))</f>
        <v>1</v>
      </c>
      <c r="L643" s="5">
        <f>INDEX(products!$A$1:$G$49,MATCH(orders!$D643,products!$A$1:$A$49,0),MATCH(orders!L$1,products!$A$1:$G$1,0))</f>
        <v>11.95</v>
      </c>
      <c r="M643">
        <f>L643*E643</f>
        <v>35.849999999999994</v>
      </c>
      <c r="N643" t="str">
        <f>IF(I643="Rob","Robusta",IF(I643="Exc","Excelsa",IF(I643="Ara","Arabica",IF(I643="Lib","Liberica",""))))</f>
        <v>Robusta</v>
      </c>
      <c r="O643" t="str">
        <f t="shared" ref="O643:O706" si="10">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9">
        <f>INDEX(products!$A$1:$G$49,MATCH(orders!$D644,products!$A$1:$A$49,0),MATCH(orders!K$1,products!$A$1:$G$1,0))</f>
        <v>0.2</v>
      </c>
      <c r="L644" s="5">
        <f>INDEX(products!$A$1:$G$49,MATCH(orders!$D644,products!$A$1:$A$49,0),MATCH(orders!L$1,products!$A$1:$G$1,0))</f>
        <v>4.125</v>
      </c>
      <c r="M644">
        <f>L644*E644</f>
        <v>8.25</v>
      </c>
      <c r="N644" t="str">
        <f>IF(I644="Rob","Robusta",IF(I644="Exc","Excelsa",IF(I644="Ara","Arabica",IF(I644="Lib","Liberica",""))))</f>
        <v>Excelsa</v>
      </c>
      <c r="O644" t="str">
        <f t="shared" si="10"/>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9">
        <f>INDEX(products!$A$1:$G$49,MATCH(orders!$D645,products!$A$1:$A$49,0),MATCH(orders!K$1,products!$A$1:$G$1,0))</f>
        <v>2.5</v>
      </c>
      <c r="L645" s="5">
        <f>INDEX(products!$A$1:$G$49,MATCH(orders!$D645,products!$A$1:$A$49,0),MATCH(orders!L$1,products!$A$1:$G$1,0))</f>
        <v>34.154999999999994</v>
      </c>
      <c r="M645">
        <f>L645*E645</f>
        <v>102.46499999999997</v>
      </c>
      <c r="N645" t="str">
        <f>IF(I645="Rob","Robusta",IF(I645="Exc","Excelsa",IF(I645="Ara","Arabica",IF(I645="Lib","Liberica",""))))</f>
        <v>Excelsa</v>
      </c>
      <c r="O645" t="str">
        <f t="shared" si="10"/>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f>_xlfn.XLOOKUP(C646,customers!$A$1:$A$1001,customers!$C$1:$C$1001,,0)</f>
        <v>0</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9">
        <f>INDEX(products!$A$1:$G$49,MATCH(orders!$D646,products!$A$1:$A$49,0),MATCH(orders!K$1,products!$A$1:$G$1,0))</f>
        <v>2.5</v>
      </c>
      <c r="L646" s="5">
        <f>INDEX(products!$A$1:$G$49,MATCH(orders!$D646,products!$A$1:$A$49,0),MATCH(orders!L$1,products!$A$1:$G$1,0))</f>
        <v>20.584999999999997</v>
      </c>
      <c r="M646">
        <f>L646*E646</f>
        <v>41.169999999999995</v>
      </c>
      <c r="N646" t="str">
        <f>IF(I646="Rob","Robusta",IF(I646="Exc","Excelsa",IF(I646="Ara","Arabica",IF(I646="Lib","Liberica",""))))</f>
        <v>Robusta</v>
      </c>
      <c r="O646" t="str">
        <f t="shared" si="10"/>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9">
        <f>INDEX(products!$A$1:$G$49,MATCH(orders!$D647,products!$A$1:$A$49,0),MATCH(orders!K$1,products!$A$1:$G$1,0))</f>
        <v>2.5</v>
      </c>
      <c r="L647" s="5">
        <f>INDEX(products!$A$1:$G$49,MATCH(orders!$D647,products!$A$1:$A$49,0),MATCH(orders!L$1,products!$A$1:$G$1,0))</f>
        <v>22.884999999999998</v>
      </c>
      <c r="M647">
        <f>L647*E647</f>
        <v>68.655000000000001</v>
      </c>
      <c r="N647" t="str">
        <f>IF(I647="Rob","Robusta",IF(I647="Exc","Excelsa",IF(I647="Ara","Arabica",IF(I647="Lib","Liberica",""))))</f>
        <v>Arabica</v>
      </c>
      <c r="O647" t="str">
        <f t="shared" si="10"/>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9">
        <f>INDEX(products!$A$1:$G$49,MATCH(orders!$D648,products!$A$1:$A$49,0),MATCH(orders!K$1,products!$A$1:$G$1,0))</f>
        <v>1</v>
      </c>
      <c r="L648" s="5">
        <f>INDEX(products!$A$1:$G$49,MATCH(orders!$D648,products!$A$1:$A$49,0),MATCH(orders!L$1,products!$A$1:$G$1,0))</f>
        <v>9.9499999999999993</v>
      </c>
      <c r="M648">
        <f>L648*E648</f>
        <v>9.9499999999999993</v>
      </c>
      <c r="N648" t="str">
        <f>IF(I648="Rob","Robusta",IF(I648="Exc","Excelsa",IF(I648="Ara","Arabica",IF(I648="Lib","Liberica",""))))</f>
        <v>Arabica</v>
      </c>
      <c r="O648" t="str">
        <f t="shared" si="10"/>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9">
        <f>INDEX(products!$A$1:$G$49,MATCH(orders!$D649,products!$A$1:$A$49,0),MATCH(orders!K$1,products!$A$1:$G$1,0))</f>
        <v>0.5</v>
      </c>
      <c r="L649" s="5">
        <f>INDEX(products!$A$1:$G$49,MATCH(orders!$D649,products!$A$1:$A$49,0),MATCH(orders!L$1,products!$A$1:$G$1,0))</f>
        <v>9.51</v>
      </c>
      <c r="M649">
        <f>L649*E649</f>
        <v>28.53</v>
      </c>
      <c r="N649" t="str">
        <f>IF(I649="Rob","Robusta",IF(I649="Exc","Excelsa",IF(I649="Ara","Arabica",IF(I649="Lib","Liberica",""))))</f>
        <v>Liberica</v>
      </c>
      <c r="O649" t="str">
        <f t="shared" si="10"/>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9">
        <f>INDEX(products!$A$1:$G$49,MATCH(orders!$D650,products!$A$1:$A$49,0),MATCH(orders!K$1,products!$A$1:$G$1,0))</f>
        <v>0.2</v>
      </c>
      <c r="L650" s="5">
        <f>INDEX(products!$A$1:$G$49,MATCH(orders!$D650,products!$A$1:$A$49,0),MATCH(orders!L$1,products!$A$1:$G$1,0))</f>
        <v>2.6849999999999996</v>
      </c>
      <c r="M650">
        <f>L650*E650</f>
        <v>16.11</v>
      </c>
      <c r="N650" t="str">
        <f>IF(I650="Rob","Robusta",IF(I650="Exc","Excelsa",IF(I650="Ara","Arabica",IF(I650="Lib","Liberica",""))))</f>
        <v>Robusta</v>
      </c>
      <c r="O650" t="str">
        <f t="shared" si="10"/>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9">
        <f>INDEX(products!$A$1:$G$49,MATCH(orders!$D651,products!$A$1:$A$49,0),MATCH(orders!K$1,products!$A$1:$G$1,0))</f>
        <v>1</v>
      </c>
      <c r="L651" s="5">
        <f>INDEX(products!$A$1:$G$49,MATCH(orders!$D651,products!$A$1:$A$49,0),MATCH(orders!L$1,products!$A$1:$G$1,0))</f>
        <v>15.85</v>
      </c>
      <c r="M651">
        <f>L651*E651</f>
        <v>95.1</v>
      </c>
      <c r="N651" t="str">
        <f>IF(I651="Rob","Robusta",IF(I651="Exc","Excelsa",IF(I651="Ara","Arabica",IF(I651="Lib","Liberica",""))))</f>
        <v>Liberica</v>
      </c>
      <c r="O651" t="str">
        <f t="shared" si="10"/>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9">
        <f>INDEX(products!$A$1:$G$49,MATCH(orders!$D652,products!$A$1:$A$49,0),MATCH(orders!K$1,products!$A$1:$G$1,0))</f>
        <v>0.5</v>
      </c>
      <c r="L652" s="5">
        <f>INDEX(products!$A$1:$G$49,MATCH(orders!$D652,products!$A$1:$A$49,0),MATCH(orders!L$1,products!$A$1:$G$1,0))</f>
        <v>5.3699999999999992</v>
      </c>
      <c r="M652">
        <f>L652*E652</f>
        <v>5.3699999999999992</v>
      </c>
      <c r="N652" t="str">
        <f>IF(I652="Rob","Robusta",IF(I652="Exc","Excelsa",IF(I652="Ara","Arabica",IF(I652="Lib","Liberica",""))))</f>
        <v>Robusta</v>
      </c>
      <c r="O652" t="str">
        <f t="shared" si="10"/>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f>_xlfn.XLOOKUP(C653,customers!$A$1:$A$1001,customers!$C$1:$C$1001,,0)</f>
        <v>0</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9">
        <f>INDEX(products!$A$1:$G$49,MATCH(orders!$D653,products!$A$1:$A$49,0),MATCH(orders!K$1,products!$A$1:$G$1,0))</f>
        <v>1</v>
      </c>
      <c r="L653" s="5">
        <f>INDEX(products!$A$1:$G$49,MATCH(orders!$D653,products!$A$1:$A$49,0),MATCH(orders!L$1,products!$A$1:$G$1,0))</f>
        <v>11.95</v>
      </c>
      <c r="M653">
        <f>L653*E653</f>
        <v>47.8</v>
      </c>
      <c r="N653" t="str">
        <f>IF(I653="Rob","Robusta",IF(I653="Exc","Excelsa",IF(I653="Ara","Arabica",IF(I653="Lib","Liberica",""))))</f>
        <v>Robusta</v>
      </c>
      <c r="O653" t="str">
        <f t="shared" si="10"/>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9">
        <f>INDEX(products!$A$1:$G$49,MATCH(orders!$D654,products!$A$1:$A$49,0),MATCH(orders!K$1,products!$A$1:$G$1,0))</f>
        <v>1</v>
      </c>
      <c r="L654" s="5">
        <f>INDEX(products!$A$1:$G$49,MATCH(orders!$D654,products!$A$1:$A$49,0),MATCH(orders!L$1,products!$A$1:$G$1,0))</f>
        <v>15.85</v>
      </c>
      <c r="M654">
        <f>L654*E654</f>
        <v>63.4</v>
      </c>
      <c r="N654" t="str">
        <f>IF(I654="Rob","Robusta",IF(I654="Exc","Excelsa",IF(I654="Ara","Arabica",IF(I654="Lib","Liberica",""))))</f>
        <v>Liberica</v>
      </c>
      <c r="O654" t="str">
        <f t="shared" si="10"/>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9">
        <f>INDEX(products!$A$1:$G$49,MATCH(orders!$D655,products!$A$1:$A$49,0),MATCH(orders!K$1,products!$A$1:$G$1,0))</f>
        <v>2.5</v>
      </c>
      <c r="L655" s="5">
        <f>INDEX(products!$A$1:$G$49,MATCH(orders!$D655,products!$A$1:$A$49,0),MATCH(orders!L$1,products!$A$1:$G$1,0))</f>
        <v>25.874999999999996</v>
      </c>
      <c r="M655">
        <f>L655*E655</f>
        <v>103.49999999999999</v>
      </c>
      <c r="N655" t="str">
        <f>IF(I655="Rob","Robusta",IF(I655="Exc","Excelsa",IF(I655="Ara","Arabica",IF(I655="Lib","Liberica",""))))</f>
        <v>Arabica</v>
      </c>
      <c r="O655" t="str">
        <f t="shared" si="10"/>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9">
        <f>INDEX(products!$A$1:$G$49,MATCH(orders!$D656,products!$A$1:$A$49,0),MATCH(orders!K$1,products!$A$1:$G$1,0))</f>
        <v>2.5</v>
      </c>
      <c r="L656" s="5">
        <f>INDEX(products!$A$1:$G$49,MATCH(orders!$D656,products!$A$1:$A$49,0),MATCH(orders!L$1,products!$A$1:$G$1,0))</f>
        <v>22.884999999999998</v>
      </c>
      <c r="M656">
        <f>L656*E656</f>
        <v>68.655000000000001</v>
      </c>
      <c r="N656" t="str">
        <f>IF(I656="Rob","Robusta",IF(I656="Exc","Excelsa",IF(I656="Ara","Arabica",IF(I656="Lib","Liberica",""))))</f>
        <v>Arabica</v>
      </c>
      <c r="O656" t="str">
        <f t="shared" si="10"/>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9">
        <f>INDEX(products!$A$1:$G$49,MATCH(orders!$D657,products!$A$1:$A$49,0),MATCH(orders!K$1,products!$A$1:$G$1,0))</f>
        <v>2.5</v>
      </c>
      <c r="L657" s="5">
        <f>INDEX(products!$A$1:$G$49,MATCH(orders!$D657,products!$A$1:$A$49,0),MATCH(orders!L$1,products!$A$1:$G$1,0))</f>
        <v>22.884999999999998</v>
      </c>
      <c r="M657">
        <f>L657*E657</f>
        <v>45.769999999999996</v>
      </c>
      <c r="N657" t="str">
        <f>IF(I657="Rob","Robusta",IF(I657="Exc","Excelsa",IF(I657="Ara","Arabica",IF(I657="Lib","Liberica",""))))</f>
        <v>Robusta</v>
      </c>
      <c r="O657" t="str">
        <f t="shared" si="10"/>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9">
        <f>INDEX(products!$A$1:$G$49,MATCH(orders!$D658,products!$A$1:$A$49,0),MATCH(orders!K$1,products!$A$1:$G$1,0))</f>
        <v>1</v>
      </c>
      <c r="L658" s="5">
        <f>INDEX(products!$A$1:$G$49,MATCH(orders!$D658,products!$A$1:$A$49,0),MATCH(orders!L$1,products!$A$1:$G$1,0))</f>
        <v>12.95</v>
      </c>
      <c r="M658">
        <f>L658*E658</f>
        <v>51.8</v>
      </c>
      <c r="N658" t="str">
        <f>IF(I658="Rob","Robusta",IF(I658="Exc","Excelsa",IF(I658="Ara","Arabica",IF(I658="Lib","Liberica",""))))</f>
        <v>Liberica</v>
      </c>
      <c r="O658" t="str">
        <f t="shared" si="10"/>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9">
        <f>INDEX(products!$A$1:$G$49,MATCH(orders!$D659,products!$A$1:$A$49,0),MATCH(orders!K$1,products!$A$1:$G$1,0))</f>
        <v>0.5</v>
      </c>
      <c r="L659" s="5">
        <f>INDEX(products!$A$1:$G$49,MATCH(orders!$D659,products!$A$1:$A$49,0),MATCH(orders!L$1,products!$A$1:$G$1,0))</f>
        <v>6.75</v>
      </c>
      <c r="M659">
        <f>L659*E659</f>
        <v>13.5</v>
      </c>
      <c r="N659" t="str">
        <f>IF(I659="Rob","Robusta",IF(I659="Exc","Excelsa",IF(I659="Ara","Arabica",IF(I659="Lib","Liberica",""))))</f>
        <v>Arabica</v>
      </c>
      <c r="O659" t="str">
        <f t="shared" si="10"/>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9">
        <f>INDEX(products!$A$1:$G$49,MATCH(orders!$D660,products!$A$1:$A$49,0),MATCH(orders!K$1,products!$A$1:$G$1,0))</f>
        <v>0.5</v>
      </c>
      <c r="L660" s="5">
        <f>INDEX(products!$A$1:$G$49,MATCH(orders!$D660,products!$A$1:$A$49,0),MATCH(orders!L$1,products!$A$1:$G$1,0))</f>
        <v>8.25</v>
      </c>
      <c r="M660">
        <f>L660*E660</f>
        <v>24.75</v>
      </c>
      <c r="N660" t="str">
        <f>IF(I660="Rob","Robusta",IF(I660="Exc","Excelsa",IF(I660="Ara","Arabica",IF(I660="Lib","Liberica",""))))</f>
        <v>Excelsa</v>
      </c>
      <c r="O660" t="str">
        <f t="shared" si="10"/>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9">
        <f>INDEX(products!$A$1:$G$49,MATCH(orders!$D661,products!$A$1:$A$49,0),MATCH(orders!K$1,products!$A$1:$G$1,0))</f>
        <v>2.5</v>
      </c>
      <c r="L661" s="5">
        <f>INDEX(products!$A$1:$G$49,MATCH(orders!$D661,products!$A$1:$A$49,0),MATCH(orders!L$1,products!$A$1:$G$1,0))</f>
        <v>22.884999999999998</v>
      </c>
      <c r="M661">
        <f>L661*E661</f>
        <v>45.769999999999996</v>
      </c>
      <c r="N661" t="str">
        <f>IF(I661="Rob","Robusta",IF(I661="Exc","Excelsa",IF(I661="Ara","Arabica",IF(I661="Lib","Liberica",""))))</f>
        <v>Arabica</v>
      </c>
      <c r="O661" t="str">
        <f t="shared" si="10"/>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9">
        <f>INDEX(products!$A$1:$G$49,MATCH(orders!$D662,products!$A$1:$A$49,0),MATCH(orders!K$1,products!$A$1:$G$1,0))</f>
        <v>0.5</v>
      </c>
      <c r="L662" s="5">
        <f>INDEX(products!$A$1:$G$49,MATCH(orders!$D662,products!$A$1:$A$49,0),MATCH(orders!L$1,products!$A$1:$G$1,0))</f>
        <v>8.91</v>
      </c>
      <c r="M662">
        <f>L662*E662</f>
        <v>53.46</v>
      </c>
      <c r="N662" t="str">
        <f>IF(I662="Rob","Robusta",IF(I662="Exc","Excelsa",IF(I662="Ara","Arabica",IF(I662="Lib","Liberica",""))))</f>
        <v>Excelsa</v>
      </c>
      <c r="O662" t="str">
        <f t="shared" si="10"/>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9">
        <f>INDEX(products!$A$1:$G$49,MATCH(orders!$D663,products!$A$1:$A$49,0),MATCH(orders!K$1,products!$A$1:$G$1,0))</f>
        <v>0.2</v>
      </c>
      <c r="L663" s="5">
        <f>INDEX(products!$A$1:$G$49,MATCH(orders!$D663,products!$A$1:$A$49,0),MATCH(orders!L$1,products!$A$1:$G$1,0))</f>
        <v>3.375</v>
      </c>
      <c r="M663">
        <f>L663*E663</f>
        <v>20.25</v>
      </c>
      <c r="N663" t="str">
        <f>IF(I663="Rob","Robusta",IF(I663="Exc","Excelsa",IF(I663="Ara","Arabica",IF(I663="Lib","Liberica",""))))</f>
        <v>Arabica</v>
      </c>
      <c r="O663" t="str">
        <f t="shared" si="10"/>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9">
        <f>INDEX(products!$A$1:$G$49,MATCH(orders!$D664,products!$A$1:$A$49,0),MATCH(orders!K$1,products!$A$1:$G$1,0))</f>
        <v>2.5</v>
      </c>
      <c r="L664" s="5">
        <f>INDEX(products!$A$1:$G$49,MATCH(orders!$D664,products!$A$1:$A$49,0),MATCH(orders!L$1,products!$A$1:$G$1,0))</f>
        <v>29.784999999999997</v>
      </c>
      <c r="M664">
        <f>L664*E664</f>
        <v>148.92499999999998</v>
      </c>
      <c r="N664" t="str">
        <f>IF(I664="Rob","Robusta",IF(I664="Exc","Excelsa",IF(I664="Ara","Arabica",IF(I664="Lib","Liberica",""))))</f>
        <v>Liberica</v>
      </c>
      <c r="O664" t="str">
        <f t="shared" si="10"/>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9">
        <f>INDEX(products!$A$1:$G$49,MATCH(orders!$D665,products!$A$1:$A$49,0),MATCH(orders!K$1,products!$A$1:$G$1,0))</f>
        <v>1</v>
      </c>
      <c r="L665" s="5">
        <f>INDEX(products!$A$1:$G$49,MATCH(orders!$D665,products!$A$1:$A$49,0),MATCH(orders!L$1,products!$A$1:$G$1,0))</f>
        <v>11.25</v>
      </c>
      <c r="M665">
        <f>L665*E665</f>
        <v>67.5</v>
      </c>
      <c r="N665" t="str">
        <f>IF(I665="Rob","Robusta",IF(I665="Exc","Excelsa",IF(I665="Ara","Arabica",IF(I665="Lib","Liberica",""))))</f>
        <v>Arabica</v>
      </c>
      <c r="O665" t="str">
        <f t="shared" si="10"/>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9">
        <f>INDEX(products!$A$1:$G$49,MATCH(orders!$D666,products!$A$1:$A$49,0),MATCH(orders!K$1,products!$A$1:$G$1,0))</f>
        <v>1</v>
      </c>
      <c r="L666" s="5">
        <f>INDEX(products!$A$1:$G$49,MATCH(orders!$D666,products!$A$1:$A$49,0),MATCH(orders!L$1,products!$A$1:$G$1,0))</f>
        <v>12.15</v>
      </c>
      <c r="M666">
        <f>L666*E666</f>
        <v>72.900000000000006</v>
      </c>
      <c r="N666" t="str">
        <f>IF(I666="Rob","Robusta",IF(I666="Exc","Excelsa",IF(I666="Ara","Arabica",IF(I666="Lib","Liberica",""))))</f>
        <v>Excelsa</v>
      </c>
      <c r="O666" t="str">
        <f t="shared" si="10"/>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9">
        <f>INDEX(products!$A$1:$G$49,MATCH(orders!$D667,products!$A$1:$A$49,0),MATCH(orders!K$1,products!$A$1:$G$1,0))</f>
        <v>0.2</v>
      </c>
      <c r="L667" s="5">
        <f>INDEX(products!$A$1:$G$49,MATCH(orders!$D667,products!$A$1:$A$49,0),MATCH(orders!L$1,products!$A$1:$G$1,0))</f>
        <v>3.8849999999999998</v>
      </c>
      <c r="M667">
        <f>L667*E667</f>
        <v>7.77</v>
      </c>
      <c r="N667" t="str">
        <f>IF(I667="Rob","Robusta",IF(I667="Exc","Excelsa",IF(I667="Ara","Arabica",IF(I667="Lib","Liberica",""))))</f>
        <v>Liberica</v>
      </c>
      <c r="O667" t="str">
        <f t="shared" si="10"/>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9">
        <f>INDEX(products!$A$1:$G$49,MATCH(orders!$D668,products!$A$1:$A$49,0),MATCH(orders!K$1,products!$A$1:$G$1,0))</f>
        <v>2.5</v>
      </c>
      <c r="L668" s="5">
        <f>INDEX(products!$A$1:$G$49,MATCH(orders!$D668,products!$A$1:$A$49,0),MATCH(orders!L$1,products!$A$1:$G$1,0))</f>
        <v>22.884999999999998</v>
      </c>
      <c r="M668">
        <f>L668*E668</f>
        <v>91.539999999999992</v>
      </c>
      <c r="N668" t="str">
        <f>IF(I668="Rob","Robusta",IF(I668="Exc","Excelsa",IF(I668="Ara","Arabica",IF(I668="Lib","Liberica",""))))</f>
        <v>Arabica</v>
      </c>
      <c r="O668" t="str">
        <f t="shared" si="10"/>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9">
        <f>INDEX(products!$A$1:$G$49,MATCH(orders!$D669,products!$A$1:$A$49,0),MATCH(orders!K$1,products!$A$1:$G$1,0))</f>
        <v>1</v>
      </c>
      <c r="L669" s="5">
        <f>INDEX(products!$A$1:$G$49,MATCH(orders!$D669,products!$A$1:$A$49,0),MATCH(orders!L$1,products!$A$1:$G$1,0))</f>
        <v>9.9499999999999993</v>
      </c>
      <c r="M669">
        <f>L669*E669</f>
        <v>59.699999999999996</v>
      </c>
      <c r="N669" t="str">
        <f>IF(I669="Rob","Robusta",IF(I669="Exc","Excelsa",IF(I669="Ara","Arabica",IF(I669="Lib","Liberica",""))))</f>
        <v>Arabica</v>
      </c>
      <c r="O669" t="str">
        <f t="shared" si="10"/>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9">
        <f>INDEX(products!$A$1:$G$49,MATCH(orders!$D670,products!$A$1:$A$49,0),MATCH(orders!K$1,products!$A$1:$G$1,0))</f>
        <v>2.5</v>
      </c>
      <c r="L670" s="5">
        <f>INDEX(products!$A$1:$G$49,MATCH(orders!$D670,products!$A$1:$A$49,0),MATCH(orders!L$1,products!$A$1:$G$1,0))</f>
        <v>27.484999999999996</v>
      </c>
      <c r="M670">
        <f>L670*E670</f>
        <v>137.42499999999998</v>
      </c>
      <c r="N670" t="str">
        <f>IF(I670="Rob","Robusta",IF(I670="Exc","Excelsa",IF(I670="Ara","Arabica",IF(I670="Lib","Liberica",""))))</f>
        <v>Robusta</v>
      </c>
      <c r="O670" t="str">
        <f t="shared" si="10"/>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9">
        <f>INDEX(products!$A$1:$G$49,MATCH(orders!$D671,products!$A$1:$A$49,0),MATCH(orders!K$1,products!$A$1:$G$1,0))</f>
        <v>2.5</v>
      </c>
      <c r="L671" s="5">
        <f>INDEX(products!$A$1:$G$49,MATCH(orders!$D671,products!$A$1:$A$49,0),MATCH(orders!L$1,products!$A$1:$G$1,0))</f>
        <v>33.464999999999996</v>
      </c>
      <c r="M671">
        <f>L671*E671</f>
        <v>66.929999999999993</v>
      </c>
      <c r="N671" t="str">
        <f>IF(I671="Rob","Robusta",IF(I671="Exc","Excelsa",IF(I671="Ara","Arabica",IF(I671="Lib","Liberica",""))))</f>
        <v>Liberica</v>
      </c>
      <c r="O671" t="str">
        <f t="shared" si="10"/>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9">
        <f>INDEX(products!$A$1:$G$49,MATCH(orders!$D672,products!$A$1:$A$49,0),MATCH(orders!K$1,products!$A$1:$G$1,0))</f>
        <v>0.2</v>
      </c>
      <c r="L672" s="5">
        <f>INDEX(products!$A$1:$G$49,MATCH(orders!$D672,products!$A$1:$A$49,0),MATCH(orders!L$1,products!$A$1:$G$1,0))</f>
        <v>4.3650000000000002</v>
      </c>
      <c r="M672">
        <f>L672*E672</f>
        <v>13.095000000000001</v>
      </c>
      <c r="N672" t="str">
        <f>IF(I672="Rob","Robusta",IF(I672="Exc","Excelsa",IF(I672="Ara","Arabica",IF(I672="Lib","Liberica",""))))</f>
        <v>Liberica</v>
      </c>
      <c r="O672" t="str">
        <f t="shared" si="10"/>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9">
        <f>INDEX(products!$A$1:$G$49,MATCH(orders!$D673,products!$A$1:$A$49,0),MATCH(orders!K$1,products!$A$1:$G$1,0))</f>
        <v>1</v>
      </c>
      <c r="L673" s="5">
        <f>INDEX(products!$A$1:$G$49,MATCH(orders!$D673,products!$A$1:$A$49,0),MATCH(orders!L$1,products!$A$1:$G$1,0))</f>
        <v>11.95</v>
      </c>
      <c r="M673">
        <f>L673*E673</f>
        <v>59.75</v>
      </c>
      <c r="N673" t="str">
        <f>IF(I673="Rob","Robusta",IF(I673="Exc","Excelsa",IF(I673="Ara","Arabica",IF(I673="Lib","Liberica",""))))</f>
        <v>Robusta</v>
      </c>
      <c r="O673" t="str">
        <f t="shared" si="10"/>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9">
        <f>INDEX(products!$A$1:$G$49,MATCH(orders!$D674,products!$A$1:$A$49,0),MATCH(orders!K$1,products!$A$1:$G$1,0))</f>
        <v>0.5</v>
      </c>
      <c r="L674" s="5">
        <f>INDEX(products!$A$1:$G$49,MATCH(orders!$D674,products!$A$1:$A$49,0),MATCH(orders!L$1,products!$A$1:$G$1,0))</f>
        <v>8.73</v>
      </c>
      <c r="M674">
        <f>L674*E674</f>
        <v>43.650000000000006</v>
      </c>
      <c r="N674" t="str">
        <f>IF(I674="Rob","Robusta",IF(I674="Exc","Excelsa",IF(I674="Ara","Arabica",IF(I674="Lib","Liberica",""))))</f>
        <v>Liberica</v>
      </c>
      <c r="O674" t="str">
        <f t="shared" si="10"/>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9">
        <f>INDEX(products!$A$1:$G$49,MATCH(orders!$D675,products!$A$1:$A$49,0),MATCH(orders!K$1,products!$A$1:$G$1,0))</f>
        <v>1</v>
      </c>
      <c r="L675" s="5">
        <f>INDEX(products!$A$1:$G$49,MATCH(orders!$D675,products!$A$1:$A$49,0),MATCH(orders!L$1,products!$A$1:$G$1,0))</f>
        <v>13.75</v>
      </c>
      <c r="M675">
        <f>L675*E675</f>
        <v>82.5</v>
      </c>
      <c r="N675" t="str">
        <f>IF(I675="Rob","Robusta",IF(I675="Exc","Excelsa",IF(I675="Ara","Arabica",IF(I675="Lib","Liberica",""))))</f>
        <v>Excelsa</v>
      </c>
      <c r="O675" t="str">
        <f t="shared" si="10"/>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9">
        <f>INDEX(products!$A$1:$G$49,MATCH(orders!$D676,products!$A$1:$A$49,0),MATCH(orders!K$1,products!$A$1:$G$1,0))</f>
        <v>2.5</v>
      </c>
      <c r="L676" s="5">
        <f>INDEX(products!$A$1:$G$49,MATCH(orders!$D676,products!$A$1:$A$49,0),MATCH(orders!L$1,products!$A$1:$G$1,0))</f>
        <v>29.784999999999997</v>
      </c>
      <c r="M676">
        <f>L676*E676</f>
        <v>178.70999999999998</v>
      </c>
      <c r="N676" t="str">
        <f>IF(I676="Rob","Robusta",IF(I676="Exc","Excelsa",IF(I676="Ara","Arabica",IF(I676="Lib","Liberica",""))))</f>
        <v>Arabica</v>
      </c>
      <c r="O676" t="str">
        <f t="shared" si="10"/>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f>_xlfn.XLOOKUP(C677,customers!$A$1:$A$1001,customers!$C$1:$C$1001,,0)</f>
        <v>0</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9">
        <f>INDEX(products!$A$1:$G$49,MATCH(orders!$D677,products!$A$1:$A$49,0),MATCH(orders!K$1,products!$A$1:$G$1,0))</f>
        <v>2.5</v>
      </c>
      <c r="L677" s="5">
        <f>INDEX(products!$A$1:$G$49,MATCH(orders!$D677,products!$A$1:$A$49,0),MATCH(orders!L$1,products!$A$1:$G$1,0))</f>
        <v>29.784999999999997</v>
      </c>
      <c r="M677">
        <f>L677*E677</f>
        <v>119.13999999999999</v>
      </c>
      <c r="N677" t="str">
        <f>IF(I677="Rob","Robusta",IF(I677="Exc","Excelsa",IF(I677="Ara","Arabica",IF(I677="Lib","Liberica",""))))</f>
        <v>Liberica</v>
      </c>
      <c r="O677" t="str">
        <f t="shared" si="10"/>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f>_xlfn.XLOOKUP(C678,customers!$A$1:$A$1001,customers!$C$1:$C$1001,,0)</f>
        <v>0</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9">
        <f>INDEX(products!$A$1:$G$49,MATCH(orders!$D678,products!$A$1:$A$49,0),MATCH(orders!K$1,products!$A$1:$G$1,0))</f>
        <v>0.5</v>
      </c>
      <c r="L678" s="5">
        <f>INDEX(products!$A$1:$G$49,MATCH(orders!$D678,products!$A$1:$A$49,0),MATCH(orders!L$1,products!$A$1:$G$1,0))</f>
        <v>9.51</v>
      </c>
      <c r="M678">
        <f>L678*E678</f>
        <v>47.55</v>
      </c>
      <c r="N678" t="str">
        <f>IF(I678="Rob","Robusta",IF(I678="Exc","Excelsa",IF(I678="Ara","Arabica",IF(I678="Lib","Liberica",""))))</f>
        <v>Liberica</v>
      </c>
      <c r="O678" t="str">
        <f t="shared" si="10"/>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9">
        <f>INDEX(products!$A$1:$G$49,MATCH(orders!$D679,products!$A$1:$A$49,0),MATCH(orders!K$1,products!$A$1:$G$1,0))</f>
        <v>0.5</v>
      </c>
      <c r="L679" s="5">
        <f>INDEX(products!$A$1:$G$49,MATCH(orders!$D679,products!$A$1:$A$49,0),MATCH(orders!L$1,products!$A$1:$G$1,0))</f>
        <v>8.73</v>
      </c>
      <c r="M679">
        <f>L679*E679</f>
        <v>43.650000000000006</v>
      </c>
      <c r="N679" t="str">
        <f>IF(I679="Rob","Robusta",IF(I679="Exc","Excelsa",IF(I679="Ara","Arabica",IF(I679="Lib","Liberica",""))))</f>
        <v>Liberica</v>
      </c>
      <c r="O679" t="str">
        <f t="shared" si="10"/>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9">
        <f>INDEX(products!$A$1:$G$49,MATCH(orders!$D680,products!$A$1:$A$49,0),MATCH(orders!K$1,products!$A$1:$G$1,0))</f>
        <v>2.5</v>
      </c>
      <c r="L680" s="5">
        <f>INDEX(products!$A$1:$G$49,MATCH(orders!$D680,products!$A$1:$A$49,0),MATCH(orders!L$1,products!$A$1:$G$1,0))</f>
        <v>29.784999999999997</v>
      </c>
      <c r="M680">
        <f>L680*E680</f>
        <v>178.70999999999998</v>
      </c>
      <c r="N680" t="str">
        <f>IF(I680="Rob","Robusta",IF(I680="Exc","Excelsa",IF(I680="Ara","Arabica",IF(I680="Lib","Liberica",""))))</f>
        <v>Arabica</v>
      </c>
      <c r="O680" t="str">
        <f t="shared" si="10"/>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9">
        <f>INDEX(products!$A$1:$G$49,MATCH(orders!$D681,products!$A$1:$A$49,0),MATCH(orders!K$1,products!$A$1:$G$1,0))</f>
        <v>2.5</v>
      </c>
      <c r="L681" s="5">
        <f>INDEX(products!$A$1:$G$49,MATCH(orders!$D681,products!$A$1:$A$49,0),MATCH(orders!L$1,products!$A$1:$G$1,0))</f>
        <v>27.484999999999996</v>
      </c>
      <c r="M681">
        <f>L681*E681</f>
        <v>27.484999999999996</v>
      </c>
      <c r="N681" t="str">
        <f>IF(I681="Rob","Robusta",IF(I681="Exc","Excelsa",IF(I681="Ara","Arabica",IF(I681="Lib","Liberica",""))))</f>
        <v>Robusta</v>
      </c>
      <c r="O681" t="str">
        <f t="shared" si="10"/>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9">
        <f>INDEX(products!$A$1:$G$49,MATCH(orders!$D682,products!$A$1:$A$49,0),MATCH(orders!K$1,products!$A$1:$G$1,0))</f>
        <v>1</v>
      </c>
      <c r="L682" s="5">
        <f>INDEX(products!$A$1:$G$49,MATCH(orders!$D682,products!$A$1:$A$49,0),MATCH(orders!L$1,products!$A$1:$G$1,0))</f>
        <v>11.25</v>
      </c>
      <c r="M682">
        <f>L682*E682</f>
        <v>56.25</v>
      </c>
      <c r="N682" t="str">
        <f>IF(I682="Rob","Robusta",IF(I682="Exc","Excelsa",IF(I682="Ara","Arabica",IF(I682="Lib","Liberica",""))))</f>
        <v>Arabica</v>
      </c>
      <c r="O682" t="str">
        <f t="shared" si="10"/>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9">
        <f>INDEX(products!$A$1:$G$49,MATCH(orders!$D683,products!$A$1:$A$49,0),MATCH(orders!K$1,products!$A$1:$G$1,0))</f>
        <v>0.2</v>
      </c>
      <c r="L683" s="5">
        <f>INDEX(products!$A$1:$G$49,MATCH(orders!$D683,products!$A$1:$A$49,0),MATCH(orders!L$1,products!$A$1:$G$1,0))</f>
        <v>4.7549999999999999</v>
      </c>
      <c r="M683">
        <f>L683*E683</f>
        <v>9.51</v>
      </c>
      <c r="N683" t="str">
        <f>IF(I683="Rob","Robusta",IF(I683="Exc","Excelsa",IF(I683="Ara","Arabica",IF(I683="Lib","Liberica",""))))</f>
        <v>Liberica</v>
      </c>
      <c r="O683" t="str">
        <f t="shared" si="10"/>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9">
        <f>INDEX(products!$A$1:$G$49,MATCH(orders!$D684,products!$A$1:$A$49,0),MATCH(orders!K$1,products!$A$1:$G$1,0))</f>
        <v>0.2</v>
      </c>
      <c r="L684" s="5">
        <f>INDEX(products!$A$1:$G$49,MATCH(orders!$D684,products!$A$1:$A$49,0),MATCH(orders!L$1,products!$A$1:$G$1,0))</f>
        <v>4.125</v>
      </c>
      <c r="M684">
        <f>L684*E684</f>
        <v>8.25</v>
      </c>
      <c r="N684" t="str">
        <f>IF(I684="Rob","Robusta",IF(I684="Exc","Excelsa",IF(I684="Ara","Arabica",IF(I684="Lib","Liberica",""))))</f>
        <v>Excelsa</v>
      </c>
      <c r="O684" t="str">
        <f t="shared" si="10"/>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9">
        <f>INDEX(products!$A$1:$G$49,MATCH(orders!$D685,products!$A$1:$A$49,0),MATCH(orders!K$1,products!$A$1:$G$1,0))</f>
        <v>0.5</v>
      </c>
      <c r="L685" s="5">
        <f>INDEX(products!$A$1:$G$49,MATCH(orders!$D685,products!$A$1:$A$49,0),MATCH(orders!L$1,products!$A$1:$G$1,0))</f>
        <v>7.77</v>
      </c>
      <c r="M685">
        <f>L685*E685</f>
        <v>46.62</v>
      </c>
      <c r="N685" t="str">
        <f>IF(I685="Rob","Robusta",IF(I685="Exc","Excelsa",IF(I685="Ara","Arabica",IF(I685="Lib","Liberica",""))))</f>
        <v>Liberica</v>
      </c>
      <c r="O685" t="str">
        <f t="shared" si="10"/>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f>_xlfn.XLOOKUP(C686,customers!$A$1:$A$1001,customers!$C$1:$C$1001,,0)</f>
        <v>0</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9">
        <f>INDEX(products!$A$1:$G$49,MATCH(orders!$D686,products!$A$1:$A$49,0),MATCH(orders!K$1,products!$A$1:$G$1,0))</f>
        <v>1</v>
      </c>
      <c r="L686" s="5">
        <f>INDEX(products!$A$1:$G$49,MATCH(orders!$D686,products!$A$1:$A$49,0),MATCH(orders!L$1,products!$A$1:$G$1,0))</f>
        <v>11.95</v>
      </c>
      <c r="M686">
        <f>L686*E686</f>
        <v>71.699999999999989</v>
      </c>
      <c r="N686" t="str">
        <f>IF(I686="Rob","Robusta",IF(I686="Exc","Excelsa",IF(I686="Ara","Arabica",IF(I686="Lib","Liberica",""))))</f>
        <v>Robusta</v>
      </c>
      <c r="O686" t="str">
        <f t="shared" si="10"/>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9">
        <f>INDEX(products!$A$1:$G$49,MATCH(orders!$D687,products!$A$1:$A$49,0),MATCH(orders!K$1,products!$A$1:$G$1,0))</f>
        <v>2.5</v>
      </c>
      <c r="L687" s="5">
        <f>INDEX(products!$A$1:$G$49,MATCH(orders!$D687,products!$A$1:$A$49,0),MATCH(orders!L$1,products!$A$1:$G$1,0))</f>
        <v>36.454999999999998</v>
      </c>
      <c r="M687">
        <f>L687*E687</f>
        <v>72.91</v>
      </c>
      <c r="N687" t="str">
        <f>IF(I687="Rob","Robusta",IF(I687="Exc","Excelsa",IF(I687="Ara","Arabica",IF(I687="Lib","Liberica",""))))</f>
        <v>Liberica</v>
      </c>
      <c r="O687" t="str">
        <f t="shared" si="10"/>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9">
        <f>INDEX(products!$A$1:$G$49,MATCH(orders!$D688,products!$A$1:$A$49,0),MATCH(orders!K$1,products!$A$1:$G$1,0))</f>
        <v>0.2</v>
      </c>
      <c r="L688" s="5">
        <f>INDEX(products!$A$1:$G$49,MATCH(orders!$D688,products!$A$1:$A$49,0),MATCH(orders!L$1,products!$A$1:$G$1,0))</f>
        <v>2.6849999999999996</v>
      </c>
      <c r="M688">
        <f>L688*E688</f>
        <v>8.0549999999999997</v>
      </c>
      <c r="N688" t="str">
        <f>IF(I688="Rob","Robusta",IF(I688="Exc","Excelsa",IF(I688="Ara","Arabica",IF(I688="Lib","Liberica",""))))</f>
        <v>Robusta</v>
      </c>
      <c r="O688" t="str">
        <f t="shared" si="10"/>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9">
        <f>INDEX(products!$A$1:$G$49,MATCH(orders!$D689,products!$A$1:$A$49,0),MATCH(orders!K$1,products!$A$1:$G$1,0))</f>
        <v>0.5</v>
      </c>
      <c r="L689" s="5">
        <f>INDEX(products!$A$1:$G$49,MATCH(orders!$D689,products!$A$1:$A$49,0),MATCH(orders!L$1,products!$A$1:$G$1,0))</f>
        <v>8.25</v>
      </c>
      <c r="M689">
        <f>L689*E689</f>
        <v>16.5</v>
      </c>
      <c r="N689" t="str">
        <f>IF(I689="Rob","Robusta",IF(I689="Exc","Excelsa",IF(I689="Ara","Arabica",IF(I689="Lib","Liberica",""))))</f>
        <v>Excelsa</v>
      </c>
      <c r="O689" t="str">
        <f t="shared" si="10"/>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9">
        <f>INDEX(products!$A$1:$G$49,MATCH(orders!$D690,products!$A$1:$A$49,0),MATCH(orders!K$1,products!$A$1:$G$1,0))</f>
        <v>1</v>
      </c>
      <c r="L690" s="5">
        <f>INDEX(products!$A$1:$G$49,MATCH(orders!$D690,products!$A$1:$A$49,0),MATCH(orders!L$1,products!$A$1:$G$1,0))</f>
        <v>12.95</v>
      </c>
      <c r="M690">
        <f>L690*E690</f>
        <v>64.75</v>
      </c>
      <c r="N690" t="str">
        <f>IF(I690="Rob","Robusta",IF(I690="Exc","Excelsa",IF(I690="Ara","Arabica",IF(I690="Lib","Liberica",""))))</f>
        <v>Arabica</v>
      </c>
      <c r="O690" t="str">
        <f t="shared" si="10"/>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9">
        <f>INDEX(products!$A$1:$G$49,MATCH(orders!$D691,products!$A$1:$A$49,0),MATCH(orders!K$1,products!$A$1:$G$1,0))</f>
        <v>0.5</v>
      </c>
      <c r="L691" s="5">
        <f>INDEX(products!$A$1:$G$49,MATCH(orders!$D691,products!$A$1:$A$49,0),MATCH(orders!L$1,products!$A$1:$G$1,0))</f>
        <v>6.75</v>
      </c>
      <c r="M691">
        <f>L691*E691</f>
        <v>33.75</v>
      </c>
      <c r="N691" t="str">
        <f>IF(I691="Rob","Robusta",IF(I691="Exc","Excelsa",IF(I691="Ara","Arabica",IF(I691="Lib","Liberica",""))))</f>
        <v>Arabica</v>
      </c>
      <c r="O691" t="str">
        <f t="shared" si="10"/>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f>_xlfn.XLOOKUP(C692,customers!$A$1:$A$1001,customers!$C$1:$C$1001,,0)</f>
        <v>0</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9">
        <f>INDEX(products!$A$1:$G$49,MATCH(orders!$D692,products!$A$1:$A$49,0),MATCH(orders!K$1,products!$A$1:$G$1,0))</f>
        <v>2.5</v>
      </c>
      <c r="L692" s="5">
        <f>INDEX(products!$A$1:$G$49,MATCH(orders!$D692,products!$A$1:$A$49,0),MATCH(orders!L$1,products!$A$1:$G$1,0))</f>
        <v>29.784999999999997</v>
      </c>
      <c r="M692">
        <f>L692*E692</f>
        <v>178.70999999999998</v>
      </c>
      <c r="N692" t="str">
        <f>IF(I692="Rob","Robusta",IF(I692="Exc","Excelsa",IF(I692="Ara","Arabica",IF(I692="Lib","Liberica",""))))</f>
        <v>Liberica</v>
      </c>
      <c r="O692" t="str">
        <f t="shared" si="10"/>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9">
        <f>INDEX(products!$A$1:$G$49,MATCH(orders!$D693,products!$A$1:$A$49,0),MATCH(orders!K$1,products!$A$1:$G$1,0))</f>
        <v>1</v>
      </c>
      <c r="L693" s="5">
        <f>INDEX(products!$A$1:$G$49,MATCH(orders!$D693,products!$A$1:$A$49,0),MATCH(orders!L$1,products!$A$1:$G$1,0))</f>
        <v>11.25</v>
      </c>
      <c r="M693">
        <f>L693*E693</f>
        <v>22.5</v>
      </c>
      <c r="N693" t="str">
        <f>IF(I693="Rob","Robusta",IF(I693="Exc","Excelsa",IF(I693="Ara","Arabica",IF(I693="Lib","Liberica",""))))</f>
        <v>Arabica</v>
      </c>
      <c r="O693" t="str">
        <f t="shared" si="10"/>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9">
        <f>INDEX(products!$A$1:$G$49,MATCH(orders!$D694,products!$A$1:$A$49,0),MATCH(orders!K$1,products!$A$1:$G$1,0))</f>
        <v>1</v>
      </c>
      <c r="L694" s="5">
        <f>INDEX(products!$A$1:$G$49,MATCH(orders!$D694,products!$A$1:$A$49,0),MATCH(orders!L$1,products!$A$1:$G$1,0))</f>
        <v>12.95</v>
      </c>
      <c r="M694">
        <f>L694*E694</f>
        <v>12.95</v>
      </c>
      <c r="N694" t="str">
        <f>IF(I694="Rob","Robusta",IF(I694="Exc","Excelsa",IF(I694="Ara","Arabica",IF(I694="Lib","Liberica",""))))</f>
        <v>Liberica</v>
      </c>
      <c r="O694" t="str">
        <f t="shared" si="10"/>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9">
        <f>INDEX(products!$A$1:$G$49,MATCH(orders!$D695,products!$A$1:$A$49,0),MATCH(orders!K$1,products!$A$1:$G$1,0))</f>
        <v>2.5</v>
      </c>
      <c r="L695" s="5">
        <f>INDEX(products!$A$1:$G$49,MATCH(orders!$D695,products!$A$1:$A$49,0),MATCH(orders!L$1,products!$A$1:$G$1,0))</f>
        <v>25.874999999999996</v>
      </c>
      <c r="M695">
        <f>L695*E695</f>
        <v>51.749999999999993</v>
      </c>
      <c r="N695" t="str">
        <f>IF(I695="Rob","Robusta",IF(I695="Exc","Excelsa",IF(I695="Ara","Arabica",IF(I695="Lib","Liberica",""))))</f>
        <v>Arabica</v>
      </c>
      <c r="O695" t="str">
        <f t="shared" si="10"/>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9">
        <f>INDEX(products!$A$1:$G$49,MATCH(orders!$D696,products!$A$1:$A$49,0),MATCH(orders!K$1,products!$A$1:$G$1,0))</f>
        <v>0.5</v>
      </c>
      <c r="L696" s="5">
        <f>INDEX(products!$A$1:$G$49,MATCH(orders!$D696,products!$A$1:$A$49,0),MATCH(orders!L$1,products!$A$1:$G$1,0))</f>
        <v>7.29</v>
      </c>
      <c r="M696">
        <f>L696*E696</f>
        <v>36.450000000000003</v>
      </c>
      <c r="N696" t="str">
        <f>IF(I696="Rob","Robusta",IF(I696="Exc","Excelsa",IF(I696="Ara","Arabica",IF(I696="Lib","Liberica",""))))</f>
        <v>Excelsa</v>
      </c>
      <c r="O696" t="str">
        <f t="shared" si="10"/>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9">
        <f>INDEX(products!$A$1:$G$49,MATCH(orders!$D697,products!$A$1:$A$49,0),MATCH(orders!K$1,products!$A$1:$G$1,0))</f>
        <v>2.5</v>
      </c>
      <c r="L697" s="5">
        <f>INDEX(products!$A$1:$G$49,MATCH(orders!$D697,products!$A$1:$A$49,0),MATCH(orders!L$1,products!$A$1:$G$1,0))</f>
        <v>36.454999999999998</v>
      </c>
      <c r="M697">
        <f>L697*E697</f>
        <v>182.27499999999998</v>
      </c>
      <c r="N697" t="str">
        <f>IF(I697="Rob","Robusta",IF(I697="Exc","Excelsa",IF(I697="Ara","Arabica",IF(I697="Lib","Liberica",""))))</f>
        <v>Liberica</v>
      </c>
      <c r="O697" t="str">
        <f t="shared" si="10"/>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9">
        <f>INDEX(products!$A$1:$G$49,MATCH(orders!$D698,products!$A$1:$A$49,0),MATCH(orders!K$1,products!$A$1:$G$1,0))</f>
        <v>0.5</v>
      </c>
      <c r="L698" s="5">
        <f>INDEX(products!$A$1:$G$49,MATCH(orders!$D698,products!$A$1:$A$49,0),MATCH(orders!L$1,products!$A$1:$G$1,0))</f>
        <v>7.77</v>
      </c>
      <c r="M698">
        <f>L698*E698</f>
        <v>31.08</v>
      </c>
      <c r="N698" t="str">
        <f>IF(I698="Rob","Robusta",IF(I698="Exc","Excelsa",IF(I698="Ara","Arabica",IF(I698="Lib","Liberica",""))))</f>
        <v>Liberica</v>
      </c>
      <c r="O698" t="str">
        <f t="shared" si="10"/>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f>_xlfn.XLOOKUP(C699,customers!$A$1:$A$1001,customers!$C$1:$C$1001,,0)</f>
        <v>0</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9">
        <f>INDEX(products!$A$1:$G$49,MATCH(orders!$D699,products!$A$1:$A$49,0),MATCH(orders!K$1,products!$A$1:$G$1,0))</f>
        <v>0.5</v>
      </c>
      <c r="L699" s="5">
        <f>INDEX(products!$A$1:$G$49,MATCH(orders!$D699,products!$A$1:$A$49,0),MATCH(orders!L$1,products!$A$1:$G$1,0))</f>
        <v>6.75</v>
      </c>
      <c r="M699">
        <f>L699*E699</f>
        <v>20.25</v>
      </c>
      <c r="N699" t="str">
        <f>IF(I699="Rob","Robusta",IF(I699="Exc","Excelsa",IF(I699="Ara","Arabica",IF(I699="Lib","Liberica",""))))</f>
        <v>Arabica</v>
      </c>
      <c r="O699" t="str">
        <f t="shared" si="10"/>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9">
        <f>INDEX(products!$A$1:$G$49,MATCH(orders!$D700,products!$A$1:$A$49,0),MATCH(orders!K$1,products!$A$1:$G$1,0))</f>
        <v>1</v>
      </c>
      <c r="L700" s="5">
        <f>INDEX(products!$A$1:$G$49,MATCH(orders!$D700,products!$A$1:$A$49,0),MATCH(orders!L$1,products!$A$1:$G$1,0))</f>
        <v>12.95</v>
      </c>
      <c r="M700">
        <f>L700*E700</f>
        <v>25.9</v>
      </c>
      <c r="N700" t="str">
        <f>IF(I700="Rob","Robusta",IF(I700="Exc","Excelsa",IF(I700="Ara","Arabica",IF(I700="Lib","Liberica",""))))</f>
        <v>Liberica</v>
      </c>
      <c r="O700" t="str">
        <f t="shared" si="10"/>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9">
        <f>INDEX(products!$A$1:$G$49,MATCH(orders!$D701,products!$A$1:$A$49,0),MATCH(orders!K$1,products!$A$1:$G$1,0))</f>
        <v>0.5</v>
      </c>
      <c r="L701" s="5">
        <f>INDEX(products!$A$1:$G$49,MATCH(orders!$D701,products!$A$1:$A$49,0),MATCH(orders!L$1,products!$A$1:$G$1,0))</f>
        <v>5.97</v>
      </c>
      <c r="M701">
        <f>L701*E701</f>
        <v>23.88</v>
      </c>
      <c r="N701" t="str">
        <f>IF(I701="Rob","Robusta",IF(I701="Exc","Excelsa",IF(I701="Ara","Arabica",IF(I701="Lib","Liberica",""))))</f>
        <v>Arabica</v>
      </c>
      <c r="O701" t="str">
        <f t="shared" si="10"/>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9">
        <f>INDEX(products!$A$1:$G$49,MATCH(orders!$D702,products!$A$1:$A$49,0),MATCH(orders!K$1,products!$A$1:$G$1,0))</f>
        <v>0.5</v>
      </c>
      <c r="L702" s="5">
        <f>INDEX(products!$A$1:$G$49,MATCH(orders!$D702,products!$A$1:$A$49,0),MATCH(orders!L$1,products!$A$1:$G$1,0))</f>
        <v>9.51</v>
      </c>
      <c r="M702">
        <f>L702*E702</f>
        <v>19.02</v>
      </c>
      <c r="N702" t="str">
        <f>IF(I702="Rob","Robusta",IF(I702="Exc","Excelsa",IF(I702="Ara","Arabica",IF(I702="Lib","Liberica",""))))</f>
        <v>Liberica</v>
      </c>
      <c r="O702" t="str">
        <f t="shared" si="10"/>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9">
        <f>INDEX(products!$A$1:$G$49,MATCH(orders!$D703,products!$A$1:$A$49,0),MATCH(orders!K$1,products!$A$1:$G$1,0))</f>
        <v>0.5</v>
      </c>
      <c r="L703" s="5">
        <f>INDEX(products!$A$1:$G$49,MATCH(orders!$D703,products!$A$1:$A$49,0),MATCH(orders!L$1,products!$A$1:$G$1,0))</f>
        <v>5.97</v>
      </c>
      <c r="M703">
        <f>L703*E703</f>
        <v>29.849999999999998</v>
      </c>
      <c r="N703" t="str">
        <f>IF(I703="Rob","Robusta",IF(I703="Exc","Excelsa",IF(I703="Ara","Arabica",IF(I703="Lib","Liberica",""))))</f>
        <v>Arabica</v>
      </c>
      <c r="O703" t="str">
        <f t="shared" si="10"/>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9">
        <f>INDEX(products!$A$1:$G$49,MATCH(orders!$D704,products!$A$1:$A$49,0),MATCH(orders!K$1,products!$A$1:$G$1,0))</f>
        <v>0.5</v>
      </c>
      <c r="L704" s="5">
        <f>INDEX(products!$A$1:$G$49,MATCH(orders!$D704,products!$A$1:$A$49,0),MATCH(orders!L$1,products!$A$1:$G$1,0))</f>
        <v>7.77</v>
      </c>
      <c r="M704">
        <f>L704*E704</f>
        <v>7.77</v>
      </c>
      <c r="N704" t="str">
        <f>IF(I704="Rob","Robusta",IF(I704="Exc","Excelsa",IF(I704="Ara","Arabica",IF(I704="Lib","Liberica",""))))</f>
        <v>Arabica</v>
      </c>
      <c r="O704" t="str">
        <f t="shared" si="10"/>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f>_xlfn.XLOOKUP(C705,customers!$A$1:$A$1001,customers!$C$1:$C$1001,,0)</f>
        <v>0</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9">
        <f>INDEX(products!$A$1:$G$49,MATCH(orders!$D705,products!$A$1:$A$49,0),MATCH(orders!K$1,products!$A$1:$G$1,0))</f>
        <v>2.5</v>
      </c>
      <c r="L705" s="5">
        <f>INDEX(products!$A$1:$G$49,MATCH(orders!$D705,products!$A$1:$A$49,0),MATCH(orders!L$1,products!$A$1:$G$1,0))</f>
        <v>29.784999999999997</v>
      </c>
      <c r="M705">
        <f>L705*E705</f>
        <v>119.13999999999999</v>
      </c>
      <c r="N705" t="str">
        <f>IF(I705="Rob","Robusta",IF(I705="Exc","Excelsa",IF(I705="Ara","Arabica",IF(I705="Lib","Liberica",""))))</f>
        <v>Liberica</v>
      </c>
      <c r="O705" t="str">
        <f t="shared" si="10"/>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f>_xlfn.XLOOKUP(C706,customers!$A$1:$A$1001,customers!$C$1:$C$1001,,0)</f>
        <v>0</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9">
        <f>INDEX(products!$A$1:$G$49,MATCH(orders!$D706,products!$A$1:$A$49,0),MATCH(orders!K$1,products!$A$1:$G$1,0))</f>
        <v>0.2</v>
      </c>
      <c r="L706" s="5">
        <f>INDEX(products!$A$1:$G$49,MATCH(orders!$D706,products!$A$1:$A$49,0),MATCH(orders!L$1,products!$A$1:$G$1,0))</f>
        <v>3.645</v>
      </c>
      <c r="M706">
        <f>L706*E706</f>
        <v>21.87</v>
      </c>
      <c r="N706" t="str">
        <f>IF(I706="Rob","Robusta",IF(I706="Exc","Excelsa",IF(I706="Ara","Arabica",IF(I706="Lib","Liberica",""))))</f>
        <v>Excelsa</v>
      </c>
      <c r="O706" t="str">
        <f t="shared" si="10"/>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9">
        <f>INDEX(products!$A$1:$G$49,MATCH(orders!$D707,products!$A$1:$A$49,0),MATCH(orders!K$1,products!$A$1:$G$1,0))</f>
        <v>0.5</v>
      </c>
      <c r="L707" s="5">
        <f>INDEX(products!$A$1:$G$49,MATCH(orders!$D707,products!$A$1:$A$49,0),MATCH(orders!L$1,products!$A$1:$G$1,0))</f>
        <v>8.91</v>
      </c>
      <c r="M707">
        <f>L707*E707</f>
        <v>17.82</v>
      </c>
      <c r="N707" t="str">
        <f>IF(I707="Rob","Robusta",IF(I707="Exc","Excelsa",IF(I707="Ara","Arabica",IF(I707="Lib","Liberica",""))))</f>
        <v>Excelsa</v>
      </c>
      <c r="O707" t="str">
        <f t="shared" ref="O707:O770" si="11">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9">
        <f>INDEX(products!$A$1:$G$49,MATCH(orders!$D708,products!$A$1:$A$49,0),MATCH(orders!K$1,products!$A$1:$G$1,0))</f>
        <v>0.2</v>
      </c>
      <c r="L708" s="5">
        <f>INDEX(products!$A$1:$G$49,MATCH(orders!$D708,products!$A$1:$A$49,0),MATCH(orders!L$1,products!$A$1:$G$1,0))</f>
        <v>4.125</v>
      </c>
      <c r="M708">
        <f>L708*E708</f>
        <v>12.375</v>
      </c>
      <c r="N708" t="str">
        <f>IF(I708="Rob","Robusta",IF(I708="Exc","Excelsa",IF(I708="Ara","Arabica",IF(I708="Lib","Liberica",""))))</f>
        <v>Excelsa</v>
      </c>
      <c r="O708" t="str">
        <f t="shared" si="11"/>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f>_xlfn.XLOOKUP(C709,customers!$A$1:$A$1001,customers!$C$1:$C$1001,,0)</f>
        <v>0</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9">
        <f>INDEX(products!$A$1:$G$49,MATCH(orders!$D709,products!$A$1:$A$49,0),MATCH(orders!K$1,products!$A$1:$G$1,0))</f>
        <v>1</v>
      </c>
      <c r="L709" s="5">
        <f>INDEX(products!$A$1:$G$49,MATCH(orders!$D709,products!$A$1:$A$49,0),MATCH(orders!L$1,products!$A$1:$G$1,0))</f>
        <v>12.95</v>
      </c>
      <c r="M709">
        <f>L709*E709</f>
        <v>25.9</v>
      </c>
      <c r="N709" t="str">
        <f>IF(I709="Rob","Robusta",IF(I709="Exc","Excelsa",IF(I709="Ara","Arabica",IF(I709="Lib","Liberica",""))))</f>
        <v>Liberica</v>
      </c>
      <c r="O709" t="str">
        <f t="shared" si="11"/>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9">
        <f>INDEX(products!$A$1:$G$49,MATCH(orders!$D710,products!$A$1:$A$49,0),MATCH(orders!K$1,products!$A$1:$G$1,0))</f>
        <v>0.5</v>
      </c>
      <c r="L710" s="5">
        <f>INDEX(products!$A$1:$G$49,MATCH(orders!$D710,products!$A$1:$A$49,0),MATCH(orders!L$1,products!$A$1:$G$1,0))</f>
        <v>6.75</v>
      </c>
      <c r="M710">
        <f>L710*E710</f>
        <v>13.5</v>
      </c>
      <c r="N710" t="str">
        <f>IF(I710="Rob","Robusta",IF(I710="Exc","Excelsa",IF(I710="Ara","Arabica",IF(I710="Lib","Liberica",""))))</f>
        <v>Arabica</v>
      </c>
      <c r="O710" t="str">
        <f t="shared" si="11"/>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f>_xlfn.XLOOKUP(C711,customers!$A$1:$A$1001,customers!$C$1:$C$1001,,0)</f>
        <v>0</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9">
        <f>INDEX(products!$A$1:$G$49,MATCH(orders!$D711,products!$A$1:$A$49,0),MATCH(orders!K$1,products!$A$1:$G$1,0))</f>
        <v>0.5</v>
      </c>
      <c r="L711" s="5">
        <f>INDEX(products!$A$1:$G$49,MATCH(orders!$D711,products!$A$1:$A$49,0),MATCH(orders!L$1,products!$A$1:$G$1,0))</f>
        <v>8.91</v>
      </c>
      <c r="M711">
        <f>L711*E711</f>
        <v>17.82</v>
      </c>
      <c r="N711" t="str">
        <f>IF(I711="Rob","Robusta",IF(I711="Exc","Excelsa",IF(I711="Ara","Arabica",IF(I711="Lib","Liberica",""))))</f>
        <v>Excelsa</v>
      </c>
      <c r="O711" t="str">
        <f t="shared" si="11"/>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9">
        <f>INDEX(products!$A$1:$G$49,MATCH(orders!$D712,products!$A$1:$A$49,0),MATCH(orders!K$1,products!$A$1:$G$1,0))</f>
        <v>0.5</v>
      </c>
      <c r="L712" s="5">
        <f>INDEX(products!$A$1:$G$49,MATCH(orders!$D712,products!$A$1:$A$49,0),MATCH(orders!L$1,products!$A$1:$G$1,0))</f>
        <v>8.25</v>
      </c>
      <c r="M712">
        <f>L712*E712</f>
        <v>24.75</v>
      </c>
      <c r="N712" t="str">
        <f>IF(I712="Rob","Robusta",IF(I712="Exc","Excelsa",IF(I712="Ara","Arabica",IF(I712="Lib","Liberica",""))))</f>
        <v>Excelsa</v>
      </c>
      <c r="O712" t="str">
        <f t="shared" si="11"/>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9">
        <f>INDEX(products!$A$1:$G$49,MATCH(orders!$D713,products!$A$1:$A$49,0),MATCH(orders!K$1,products!$A$1:$G$1,0))</f>
        <v>0.2</v>
      </c>
      <c r="L713" s="5">
        <f>INDEX(products!$A$1:$G$49,MATCH(orders!$D713,products!$A$1:$A$49,0),MATCH(orders!L$1,products!$A$1:$G$1,0))</f>
        <v>2.9849999999999999</v>
      </c>
      <c r="M713">
        <f>L713*E713</f>
        <v>17.91</v>
      </c>
      <c r="N713" t="str">
        <f>IF(I713="Rob","Robusta",IF(I713="Exc","Excelsa",IF(I713="Ara","Arabica",IF(I713="Lib","Liberica",""))))</f>
        <v>Robusta</v>
      </c>
      <c r="O713" t="str">
        <f t="shared" si="11"/>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f>_xlfn.XLOOKUP(C714,customers!$A$1:$A$1001,customers!$C$1:$C$1001,,0)</f>
        <v>0</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9">
        <f>INDEX(products!$A$1:$G$49,MATCH(orders!$D714,products!$A$1:$A$49,0),MATCH(orders!K$1,products!$A$1:$G$1,0))</f>
        <v>0.5</v>
      </c>
      <c r="L714" s="5">
        <f>INDEX(products!$A$1:$G$49,MATCH(orders!$D714,products!$A$1:$A$49,0),MATCH(orders!L$1,products!$A$1:$G$1,0))</f>
        <v>8.25</v>
      </c>
      <c r="M714">
        <f>L714*E714</f>
        <v>16.5</v>
      </c>
      <c r="N714" t="str">
        <f>IF(I714="Rob","Robusta",IF(I714="Exc","Excelsa",IF(I714="Ara","Arabica",IF(I714="Lib","Liberica",""))))</f>
        <v>Excelsa</v>
      </c>
      <c r="O714" t="str">
        <f t="shared" si="11"/>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9">
        <f>INDEX(products!$A$1:$G$49,MATCH(orders!$D715,products!$A$1:$A$49,0),MATCH(orders!K$1,products!$A$1:$G$1,0))</f>
        <v>0.2</v>
      </c>
      <c r="L715" s="5">
        <f>INDEX(products!$A$1:$G$49,MATCH(orders!$D715,products!$A$1:$A$49,0),MATCH(orders!L$1,products!$A$1:$G$1,0))</f>
        <v>2.9849999999999999</v>
      </c>
      <c r="M715">
        <f>L715*E715</f>
        <v>2.9849999999999999</v>
      </c>
      <c r="N715" t="str">
        <f>IF(I715="Rob","Robusta",IF(I715="Exc","Excelsa",IF(I715="Ara","Arabica",IF(I715="Lib","Liberica",""))))</f>
        <v>Robusta</v>
      </c>
      <c r="O715" t="str">
        <f t="shared" si="11"/>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9">
        <f>INDEX(products!$A$1:$G$49,MATCH(orders!$D716,products!$A$1:$A$49,0),MATCH(orders!K$1,products!$A$1:$G$1,0))</f>
        <v>0.2</v>
      </c>
      <c r="L716" s="5">
        <f>INDEX(products!$A$1:$G$49,MATCH(orders!$D716,products!$A$1:$A$49,0),MATCH(orders!L$1,products!$A$1:$G$1,0))</f>
        <v>3.645</v>
      </c>
      <c r="M716">
        <f>L716*E716</f>
        <v>14.58</v>
      </c>
      <c r="N716" t="str">
        <f>IF(I716="Rob","Robusta",IF(I716="Exc","Excelsa",IF(I716="Ara","Arabica",IF(I716="Lib","Liberica",""))))</f>
        <v>Excelsa</v>
      </c>
      <c r="O716" t="str">
        <f t="shared" si="11"/>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9">
        <f>INDEX(products!$A$1:$G$49,MATCH(orders!$D717,products!$A$1:$A$49,0),MATCH(orders!K$1,products!$A$1:$G$1,0))</f>
        <v>1</v>
      </c>
      <c r="L717" s="5">
        <f>INDEX(products!$A$1:$G$49,MATCH(orders!$D717,products!$A$1:$A$49,0),MATCH(orders!L$1,products!$A$1:$G$1,0))</f>
        <v>14.85</v>
      </c>
      <c r="M717">
        <f>L717*E717</f>
        <v>89.1</v>
      </c>
      <c r="N717" t="str">
        <f>IF(I717="Rob","Robusta",IF(I717="Exc","Excelsa",IF(I717="Ara","Arabica",IF(I717="Lib","Liberica",""))))</f>
        <v>Excelsa</v>
      </c>
      <c r="O717" t="str">
        <f t="shared" si="11"/>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9">
        <f>INDEX(products!$A$1:$G$49,MATCH(orders!$D718,products!$A$1:$A$49,0),MATCH(orders!K$1,products!$A$1:$G$1,0))</f>
        <v>1</v>
      </c>
      <c r="L718" s="5">
        <f>INDEX(products!$A$1:$G$49,MATCH(orders!$D718,products!$A$1:$A$49,0),MATCH(orders!L$1,products!$A$1:$G$1,0))</f>
        <v>11.95</v>
      </c>
      <c r="M718">
        <f>L718*E718</f>
        <v>35.849999999999994</v>
      </c>
      <c r="N718" t="str">
        <f>IF(I718="Rob","Robusta",IF(I718="Exc","Excelsa",IF(I718="Ara","Arabica",IF(I718="Lib","Liberica",""))))</f>
        <v>Robusta</v>
      </c>
      <c r="O718" t="str">
        <f t="shared" si="11"/>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9">
        <f>INDEX(products!$A$1:$G$49,MATCH(orders!$D719,products!$A$1:$A$49,0),MATCH(orders!K$1,products!$A$1:$G$1,0))</f>
        <v>2.5</v>
      </c>
      <c r="L719" s="5">
        <f>INDEX(products!$A$1:$G$49,MATCH(orders!$D719,products!$A$1:$A$49,0),MATCH(orders!L$1,products!$A$1:$G$1,0))</f>
        <v>22.884999999999998</v>
      </c>
      <c r="M719">
        <f>L719*E719</f>
        <v>68.655000000000001</v>
      </c>
      <c r="N719" t="str">
        <f>IF(I719="Rob","Robusta",IF(I719="Exc","Excelsa",IF(I719="Ara","Arabica",IF(I719="Lib","Liberica",""))))</f>
        <v>Arabica</v>
      </c>
      <c r="O719" t="str">
        <f t="shared" si="11"/>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9">
        <f>INDEX(products!$A$1:$G$49,MATCH(orders!$D720,products!$A$1:$A$49,0),MATCH(orders!K$1,products!$A$1:$G$1,0))</f>
        <v>1</v>
      </c>
      <c r="L720" s="5">
        <f>INDEX(products!$A$1:$G$49,MATCH(orders!$D720,products!$A$1:$A$49,0),MATCH(orders!L$1,products!$A$1:$G$1,0))</f>
        <v>12.95</v>
      </c>
      <c r="M720">
        <f>L720*E720</f>
        <v>38.849999999999994</v>
      </c>
      <c r="N720" t="str">
        <f>IF(I720="Rob","Robusta",IF(I720="Exc","Excelsa",IF(I720="Ara","Arabica",IF(I720="Lib","Liberica",""))))</f>
        <v>Liberica</v>
      </c>
      <c r="O720" t="str">
        <f t="shared" si="11"/>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9">
        <f>INDEX(products!$A$1:$G$49,MATCH(orders!$D721,products!$A$1:$A$49,0),MATCH(orders!K$1,products!$A$1:$G$1,0))</f>
        <v>1</v>
      </c>
      <c r="L721" s="5">
        <f>INDEX(products!$A$1:$G$49,MATCH(orders!$D721,products!$A$1:$A$49,0),MATCH(orders!L$1,products!$A$1:$G$1,0))</f>
        <v>15.85</v>
      </c>
      <c r="M721">
        <f>L721*E721</f>
        <v>79.25</v>
      </c>
      <c r="N721" t="str">
        <f>IF(I721="Rob","Robusta",IF(I721="Exc","Excelsa",IF(I721="Ara","Arabica",IF(I721="Lib","Liberica",""))))</f>
        <v>Liberica</v>
      </c>
      <c r="O721" t="str">
        <f t="shared" si="11"/>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9">
        <f>INDEX(products!$A$1:$G$49,MATCH(orders!$D722,products!$A$1:$A$49,0),MATCH(orders!K$1,products!$A$1:$G$1,0))</f>
        <v>0.5</v>
      </c>
      <c r="L722" s="5">
        <f>INDEX(products!$A$1:$G$49,MATCH(orders!$D722,products!$A$1:$A$49,0),MATCH(orders!L$1,products!$A$1:$G$1,0))</f>
        <v>7.29</v>
      </c>
      <c r="M722">
        <f>L722*E722</f>
        <v>36.450000000000003</v>
      </c>
      <c r="N722" t="str">
        <f>IF(I722="Rob","Robusta",IF(I722="Exc","Excelsa",IF(I722="Ara","Arabica",IF(I722="Lib","Liberica",""))))</f>
        <v>Excelsa</v>
      </c>
      <c r="O722" t="str">
        <f t="shared" si="11"/>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9">
        <f>INDEX(products!$A$1:$G$49,MATCH(orders!$D723,products!$A$1:$A$49,0),MATCH(orders!K$1,products!$A$1:$G$1,0))</f>
        <v>0.2</v>
      </c>
      <c r="L723" s="5">
        <f>INDEX(products!$A$1:$G$49,MATCH(orders!$D723,products!$A$1:$A$49,0),MATCH(orders!L$1,products!$A$1:$G$1,0))</f>
        <v>2.9849999999999999</v>
      </c>
      <c r="M723">
        <f>L723*E723</f>
        <v>8.9550000000000001</v>
      </c>
      <c r="N723" t="str">
        <f>IF(I723="Rob","Robusta",IF(I723="Exc","Excelsa",IF(I723="Ara","Arabica",IF(I723="Lib","Liberica",""))))</f>
        <v>Robusta</v>
      </c>
      <c r="O723" t="str">
        <f t="shared" si="11"/>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f>_xlfn.XLOOKUP(C724,customers!$A$1:$A$1001,customers!$C$1:$C$1001,,0)</f>
        <v>0</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9">
        <f>INDEX(products!$A$1:$G$49,MATCH(orders!$D724,products!$A$1:$A$49,0),MATCH(orders!K$1,products!$A$1:$G$1,0))</f>
        <v>1</v>
      </c>
      <c r="L724" s="5">
        <f>INDEX(products!$A$1:$G$49,MATCH(orders!$D724,products!$A$1:$A$49,0),MATCH(orders!L$1,products!$A$1:$G$1,0))</f>
        <v>12.15</v>
      </c>
      <c r="M724">
        <f>L724*E724</f>
        <v>24.3</v>
      </c>
      <c r="N724" t="str">
        <f>IF(I724="Rob","Robusta",IF(I724="Exc","Excelsa",IF(I724="Ara","Arabica",IF(I724="Lib","Liberica",""))))</f>
        <v>Excelsa</v>
      </c>
      <c r="O724" t="str">
        <f t="shared" si="11"/>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9">
        <f>INDEX(products!$A$1:$G$49,MATCH(orders!$D725,products!$A$1:$A$49,0),MATCH(orders!K$1,products!$A$1:$G$1,0))</f>
        <v>2.5</v>
      </c>
      <c r="L725" s="5">
        <f>INDEX(products!$A$1:$G$49,MATCH(orders!$D725,products!$A$1:$A$49,0),MATCH(orders!L$1,products!$A$1:$G$1,0))</f>
        <v>31.624999999999996</v>
      </c>
      <c r="M725">
        <f>L725*E725</f>
        <v>63.249999999999993</v>
      </c>
      <c r="N725" t="str">
        <f>IF(I725="Rob","Robusta",IF(I725="Exc","Excelsa",IF(I725="Ara","Arabica",IF(I725="Lib","Liberica",""))))</f>
        <v>Excelsa</v>
      </c>
      <c r="O725" t="str">
        <f t="shared" si="11"/>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f>_xlfn.XLOOKUP(C726,customers!$A$1:$A$1001,customers!$C$1:$C$1001,,0)</f>
        <v>0</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9">
        <f>INDEX(products!$A$1:$G$49,MATCH(orders!$D726,products!$A$1:$A$49,0),MATCH(orders!K$1,products!$A$1:$G$1,0))</f>
        <v>0.2</v>
      </c>
      <c r="L726" s="5">
        <f>INDEX(products!$A$1:$G$49,MATCH(orders!$D726,products!$A$1:$A$49,0),MATCH(orders!L$1,products!$A$1:$G$1,0))</f>
        <v>3.375</v>
      </c>
      <c r="M726">
        <f>L726*E726</f>
        <v>6.75</v>
      </c>
      <c r="N726" t="str">
        <f>IF(I726="Rob","Robusta",IF(I726="Exc","Excelsa",IF(I726="Ara","Arabica",IF(I726="Lib","Liberica",""))))</f>
        <v>Arabica</v>
      </c>
      <c r="O726" t="str">
        <f t="shared" si="11"/>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9">
        <f>INDEX(products!$A$1:$G$49,MATCH(orders!$D727,products!$A$1:$A$49,0),MATCH(orders!K$1,products!$A$1:$G$1,0))</f>
        <v>0.2</v>
      </c>
      <c r="L727" s="5">
        <f>INDEX(products!$A$1:$G$49,MATCH(orders!$D727,products!$A$1:$A$49,0),MATCH(orders!L$1,products!$A$1:$G$1,0))</f>
        <v>3.8849999999999998</v>
      </c>
      <c r="M727">
        <f>L727*E727</f>
        <v>23.31</v>
      </c>
      <c r="N727" t="str">
        <f>IF(I727="Rob","Robusta",IF(I727="Exc","Excelsa",IF(I727="Ara","Arabica",IF(I727="Lib","Liberica",""))))</f>
        <v>Arabica</v>
      </c>
      <c r="O727" t="str">
        <f t="shared" si="11"/>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f>_xlfn.XLOOKUP(C728,customers!$A$1:$A$1001,customers!$C$1:$C$1001,,0)</f>
        <v>0</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9">
        <f>INDEX(products!$A$1:$G$49,MATCH(orders!$D728,products!$A$1:$A$49,0),MATCH(orders!K$1,products!$A$1:$G$1,0))</f>
        <v>2.5</v>
      </c>
      <c r="L728" s="5">
        <f>INDEX(products!$A$1:$G$49,MATCH(orders!$D728,products!$A$1:$A$49,0),MATCH(orders!L$1,products!$A$1:$G$1,0))</f>
        <v>36.454999999999998</v>
      </c>
      <c r="M728">
        <f>L728*E728</f>
        <v>145.82</v>
      </c>
      <c r="N728" t="str">
        <f>IF(I728="Rob","Robusta",IF(I728="Exc","Excelsa",IF(I728="Ara","Arabica",IF(I728="Lib","Liberica",""))))</f>
        <v>Liberica</v>
      </c>
      <c r="O728" t="str">
        <f t="shared" si="11"/>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9">
        <f>INDEX(products!$A$1:$G$49,MATCH(orders!$D729,products!$A$1:$A$49,0),MATCH(orders!K$1,products!$A$1:$G$1,0))</f>
        <v>0.5</v>
      </c>
      <c r="L729" s="5">
        <f>INDEX(products!$A$1:$G$49,MATCH(orders!$D729,products!$A$1:$A$49,0),MATCH(orders!L$1,products!$A$1:$G$1,0))</f>
        <v>5.97</v>
      </c>
      <c r="M729">
        <f>L729*E729</f>
        <v>29.849999999999998</v>
      </c>
      <c r="N729" t="str">
        <f>IF(I729="Rob","Robusta",IF(I729="Exc","Excelsa",IF(I729="Ara","Arabica",IF(I729="Lib","Liberica",""))))</f>
        <v>Robusta</v>
      </c>
      <c r="O729" t="str">
        <f t="shared" si="11"/>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9">
        <f>INDEX(products!$A$1:$G$49,MATCH(orders!$D730,products!$A$1:$A$49,0),MATCH(orders!K$1,products!$A$1:$G$1,0))</f>
        <v>0.5</v>
      </c>
      <c r="L730" s="5">
        <f>INDEX(products!$A$1:$G$49,MATCH(orders!$D730,products!$A$1:$A$49,0),MATCH(orders!L$1,products!$A$1:$G$1,0))</f>
        <v>7.29</v>
      </c>
      <c r="M730">
        <f>L730*E730</f>
        <v>21.87</v>
      </c>
      <c r="N730" t="str">
        <f>IF(I730="Rob","Robusta",IF(I730="Exc","Excelsa",IF(I730="Ara","Arabica",IF(I730="Lib","Liberica",""))))</f>
        <v>Excelsa</v>
      </c>
      <c r="O730" t="str">
        <f t="shared" si="11"/>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9">
        <f>INDEX(products!$A$1:$G$49,MATCH(orders!$D731,products!$A$1:$A$49,0),MATCH(orders!K$1,products!$A$1:$G$1,0))</f>
        <v>0.2</v>
      </c>
      <c r="L731" s="5">
        <f>INDEX(products!$A$1:$G$49,MATCH(orders!$D731,products!$A$1:$A$49,0),MATCH(orders!L$1,products!$A$1:$G$1,0))</f>
        <v>4.3650000000000002</v>
      </c>
      <c r="M731">
        <f>L731*E731</f>
        <v>4.3650000000000002</v>
      </c>
      <c r="N731" t="str">
        <f>IF(I731="Rob","Robusta",IF(I731="Exc","Excelsa",IF(I731="Ara","Arabica",IF(I731="Lib","Liberica",""))))</f>
        <v>Liberica</v>
      </c>
      <c r="O731" t="str">
        <f t="shared" si="11"/>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9">
        <f>INDEX(products!$A$1:$G$49,MATCH(orders!$D732,products!$A$1:$A$49,0),MATCH(orders!K$1,products!$A$1:$G$1,0))</f>
        <v>2.5</v>
      </c>
      <c r="L732" s="5">
        <f>INDEX(products!$A$1:$G$49,MATCH(orders!$D732,products!$A$1:$A$49,0),MATCH(orders!L$1,products!$A$1:$G$1,0))</f>
        <v>36.454999999999998</v>
      </c>
      <c r="M732">
        <f>L732*E732</f>
        <v>36.454999999999998</v>
      </c>
      <c r="N732" t="str">
        <f>IF(I732="Rob","Robusta",IF(I732="Exc","Excelsa",IF(I732="Ara","Arabica",IF(I732="Lib","Liberica",""))))</f>
        <v>Liberica</v>
      </c>
      <c r="O732" t="str">
        <f t="shared" si="11"/>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f>_xlfn.XLOOKUP(C733,customers!$A$1:$A$1001,customers!$C$1:$C$1001,,0)</f>
        <v>0</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9">
        <f>INDEX(products!$A$1:$G$49,MATCH(orders!$D733,products!$A$1:$A$49,0),MATCH(orders!K$1,products!$A$1:$G$1,0))</f>
        <v>0.2</v>
      </c>
      <c r="L733" s="5">
        <f>INDEX(products!$A$1:$G$49,MATCH(orders!$D733,products!$A$1:$A$49,0),MATCH(orders!L$1,products!$A$1:$G$1,0))</f>
        <v>3.8849999999999998</v>
      </c>
      <c r="M733">
        <f>L733*E733</f>
        <v>15.54</v>
      </c>
      <c r="N733" t="str">
        <f>IF(I733="Rob","Robusta",IF(I733="Exc","Excelsa",IF(I733="Ara","Arabica",IF(I733="Lib","Liberica",""))))</f>
        <v>Liberica</v>
      </c>
      <c r="O733" t="str">
        <f t="shared" si="11"/>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9">
        <f>INDEX(products!$A$1:$G$49,MATCH(orders!$D734,products!$A$1:$A$49,0),MATCH(orders!K$1,products!$A$1:$G$1,0))</f>
        <v>0.2</v>
      </c>
      <c r="L734" s="5">
        <f>INDEX(products!$A$1:$G$49,MATCH(orders!$D734,products!$A$1:$A$49,0),MATCH(orders!L$1,products!$A$1:$G$1,0))</f>
        <v>4.4550000000000001</v>
      </c>
      <c r="M734">
        <f>L734*E734</f>
        <v>8.91</v>
      </c>
      <c r="N734" t="str">
        <f>IF(I734="Rob","Robusta",IF(I734="Exc","Excelsa",IF(I734="Ara","Arabica",IF(I734="Lib","Liberica",""))))</f>
        <v>Excelsa</v>
      </c>
      <c r="O734" t="str">
        <f t="shared" si="11"/>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9">
        <f>INDEX(products!$A$1:$G$49,MATCH(orders!$D735,products!$A$1:$A$49,0),MATCH(orders!K$1,products!$A$1:$G$1,0))</f>
        <v>2.5</v>
      </c>
      <c r="L735" s="5">
        <f>INDEX(products!$A$1:$G$49,MATCH(orders!$D735,products!$A$1:$A$49,0),MATCH(orders!L$1,products!$A$1:$G$1,0))</f>
        <v>33.464999999999996</v>
      </c>
      <c r="M735">
        <f>L735*E735</f>
        <v>100.39499999999998</v>
      </c>
      <c r="N735" t="str">
        <f>IF(I735="Rob","Robusta",IF(I735="Exc","Excelsa",IF(I735="Ara","Arabica",IF(I735="Lib","Liberica",""))))</f>
        <v>Liberica</v>
      </c>
      <c r="O735" t="str">
        <f t="shared" si="11"/>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f>_xlfn.XLOOKUP(C736,customers!$A$1:$A$1001,customers!$C$1:$C$1001,,0)</f>
        <v>0</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9">
        <f>INDEX(products!$A$1:$G$49,MATCH(orders!$D736,products!$A$1:$A$49,0),MATCH(orders!K$1,products!$A$1:$G$1,0))</f>
        <v>0.2</v>
      </c>
      <c r="L736" s="5">
        <f>INDEX(products!$A$1:$G$49,MATCH(orders!$D736,products!$A$1:$A$49,0),MATCH(orders!L$1,products!$A$1:$G$1,0))</f>
        <v>2.6849999999999996</v>
      </c>
      <c r="M736">
        <f>L736*E736</f>
        <v>13.424999999999997</v>
      </c>
      <c r="N736" t="str">
        <f>IF(I736="Rob","Robusta",IF(I736="Exc","Excelsa",IF(I736="Ara","Arabica",IF(I736="Lib","Liberica",""))))</f>
        <v>Robusta</v>
      </c>
      <c r="O736" t="str">
        <f t="shared" si="11"/>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9">
        <f>INDEX(products!$A$1:$G$49,MATCH(orders!$D737,products!$A$1:$A$49,0),MATCH(orders!K$1,products!$A$1:$G$1,0))</f>
        <v>0.2</v>
      </c>
      <c r="L737" s="5">
        <f>INDEX(products!$A$1:$G$49,MATCH(orders!$D737,products!$A$1:$A$49,0),MATCH(orders!L$1,products!$A$1:$G$1,0))</f>
        <v>3.645</v>
      </c>
      <c r="M737">
        <f>L737*E737</f>
        <v>21.87</v>
      </c>
      <c r="N737" t="str">
        <f>IF(I737="Rob","Robusta",IF(I737="Exc","Excelsa",IF(I737="Ara","Arabica",IF(I737="Lib","Liberica",""))))</f>
        <v>Excelsa</v>
      </c>
      <c r="O737" t="str">
        <f t="shared" si="11"/>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9">
        <f>INDEX(products!$A$1:$G$49,MATCH(orders!$D738,products!$A$1:$A$49,0),MATCH(orders!K$1,products!$A$1:$G$1,0))</f>
        <v>1</v>
      </c>
      <c r="L738" s="5">
        <f>INDEX(products!$A$1:$G$49,MATCH(orders!$D738,products!$A$1:$A$49,0),MATCH(orders!L$1,products!$A$1:$G$1,0))</f>
        <v>12.95</v>
      </c>
      <c r="M738">
        <f>L738*E738</f>
        <v>25.9</v>
      </c>
      <c r="N738" t="str">
        <f>IF(I738="Rob","Robusta",IF(I738="Exc","Excelsa",IF(I738="Ara","Arabica",IF(I738="Lib","Liberica",""))))</f>
        <v>Liberica</v>
      </c>
      <c r="O738" t="str">
        <f t="shared" si="11"/>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9">
        <f>INDEX(products!$A$1:$G$49,MATCH(orders!$D739,products!$A$1:$A$49,0),MATCH(orders!K$1,products!$A$1:$G$1,0))</f>
        <v>1</v>
      </c>
      <c r="L739" s="5">
        <f>INDEX(products!$A$1:$G$49,MATCH(orders!$D739,products!$A$1:$A$49,0),MATCH(orders!L$1,products!$A$1:$G$1,0))</f>
        <v>11.25</v>
      </c>
      <c r="M739">
        <f>L739*E739</f>
        <v>56.25</v>
      </c>
      <c r="N739" t="str">
        <f>IF(I739="Rob","Robusta",IF(I739="Exc","Excelsa",IF(I739="Ara","Arabica",IF(I739="Lib","Liberica",""))))</f>
        <v>Arabica</v>
      </c>
      <c r="O739" t="str">
        <f t="shared" si="11"/>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9">
        <f>INDEX(products!$A$1:$G$49,MATCH(orders!$D740,products!$A$1:$A$49,0),MATCH(orders!K$1,products!$A$1:$G$1,0))</f>
        <v>0.2</v>
      </c>
      <c r="L740" s="5">
        <f>INDEX(products!$A$1:$G$49,MATCH(orders!$D740,products!$A$1:$A$49,0),MATCH(orders!L$1,products!$A$1:$G$1,0))</f>
        <v>3.5849999999999995</v>
      </c>
      <c r="M740">
        <f>L740*E740</f>
        <v>10.754999999999999</v>
      </c>
      <c r="N740" t="str">
        <f>IF(I740="Rob","Robusta",IF(I740="Exc","Excelsa",IF(I740="Ara","Arabica",IF(I740="Lib","Liberica",""))))</f>
        <v>Robusta</v>
      </c>
      <c r="O740" t="str">
        <f t="shared" si="11"/>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9">
        <f>INDEX(products!$A$1:$G$49,MATCH(orders!$D741,products!$A$1:$A$49,0),MATCH(orders!K$1,products!$A$1:$G$1,0))</f>
        <v>0.2</v>
      </c>
      <c r="L741" s="5">
        <f>INDEX(products!$A$1:$G$49,MATCH(orders!$D741,products!$A$1:$A$49,0),MATCH(orders!L$1,products!$A$1:$G$1,0))</f>
        <v>3.645</v>
      </c>
      <c r="M741">
        <f>L741*E741</f>
        <v>18.225000000000001</v>
      </c>
      <c r="N741" t="str">
        <f>IF(I741="Rob","Robusta",IF(I741="Exc","Excelsa",IF(I741="Ara","Arabica",IF(I741="Lib","Liberica",""))))</f>
        <v>Excelsa</v>
      </c>
      <c r="O741" t="str">
        <f t="shared" si="11"/>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9">
        <f>INDEX(products!$A$1:$G$49,MATCH(orders!$D742,products!$A$1:$A$49,0),MATCH(orders!K$1,products!$A$1:$G$1,0))</f>
        <v>0.5</v>
      </c>
      <c r="L742" s="5">
        <f>INDEX(products!$A$1:$G$49,MATCH(orders!$D742,products!$A$1:$A$49,0),MATCH(orders!L$1,products!$A$1:$G$1,0))</f>
        <v>7.169999999999999</v>
      </c>
      <c r="M742">
        <f>L742*E742</f>
        <v>28.679999999999996</v>
      </c>
      <c r="N742" t="str">
        <f>IF(I742="Rob","Robusta",IF(I742="Exc","Excelsa",IF(I742="Ara","Arabica",IF(I742="Lib","Liberica",""))))</f>
        <v>Robusta</v>
      </c>
      <c r="O742" t="str">
        <f t="shared" si="11"/>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9">
        <f>INDEX(products!$A$1:$G$49,MATCH(orders!$D743,products!$A$1:$A$49,0),MATCH(orders!K$1,products!$A$1:$G$1,0))</f>
        <v>0.2</v>
      </c>
      <c r="L743" s="5">
        <f>INDEX(products!$A$1:$G$49,MATCH(orders!$D743,products!$A$1:$A$49,0),MATCH(orders!L$1,products!$A$1:$G$1,0))</f>
        <v>4.3650000000000002</v>
      </c>
      <c r="M743">
        <f>L743*E743</f>
        <v>8.73</v>
      </c>
      <c r="N743" t="str">
        <f>IF(I743="Rob","Robusta",IF(I743="Exc","Excelsa",IF(I743="Ara","Arabica",IF(I743="Lib","Liberica",""))))</f>
        <v>Liberica</v>
      </c>
      <c r="O743" t="str">
        <f t="shared" si="11"/>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9">
        <f>INDEX(products!$A$1:$G$49,MATCH(orders!$D744,products!$A$1:$A$49,0),MATCH(orders!K$1,products!$A$1:$G$1,0))</f>
        <v>1</v>
      </c>
      <c r="L744" s="5">
        <f>INDEX(products!$A$1:$G$49,MATCH(orders!$D744,products!$A$1:$A$49,0),MATCH(orders!L$1,products!$A$1:$G$1,0))</f>
        <v>14.55</v>
      </c>
      <c r="M744">
        <f>L744*E744</f>
        <v>58.2</v>
      </c>
      <c r="N744" t="str">
        <f>IF(I744="Rob","Robusta",IF(I744="Exc","Excelsa",IF(I744="Ara","Arabica",IF(I744="Lib","Liberica",""))))</f>
        <v>Liberica</v>
      </c>
      <c r="O744" t="str">
        <f t="shared" si="11"/>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9">
        <f>INDEX(products!$A$1:$G$49,MATCH(orders!$D745,products!$A$1:$A$49,0),MATCH(orders!K$1,products!$A$1:$G$1,0))</f>
        <v>0.5</v>
      </c>
      <c r="L745" s="5">
        <f>INDEX(products!$A$1:$G$49,MATCH(orders!$D745,products!$A$1:$A$49,0),MATCH(orders!L$1,products!$A$1:$G$1,0))</f>
        <v>5.97</v>
      </c>
      <c r="M745">
        <f>L745*E745</f>
        <v>17.91</v>
      </c>
      <c r="N745" t="str">
        <f>IF(I745="Rob","Robusta",IF(I745="Exc","Excelsa",IF(I745="Ara","Arabica",IF(I745="Lib","Liberica",""))))</f>
        <v>Arabica</v>
      </c>
      <c r="O745" t="str">
        <f t="shared" si="11"/>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f>_xlfn.XLOOKUP(C746,customers!$A$1:$A$1001,customers!$C$1:$C$1001,,0)</f>
        <v>0</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9">
        <f>INDEX(products!$A$1:$G$49,MATCH(orders!$D746,products!$A$1:$A$49,0),MATCH(orders!K$1,products!$A$1:$G$1,0))</f>
        <v>0.2</v>
      </c>
      <c r="L746" s="5">
        <f>INDEX(products!$A$1:$G$49,MATCH(orders!$D746,products!$A$1:$A$49,0),MATCH(orders!L$1,products!$A$1:$G$1,0))</f>
        <v>2.9849999999999999</v>
      </c>
      <c r="M746">
        <f>L746*E746</f>
        <v>17.91</v>
      </c>
      <c r="N746" t="str">
        <f>IF(I746="Rob","Robusta",IF(I746="Exc","Excelsa",IF(I746="Ara","Arabica",IF(I746="Lib","Liberica",""))))</f>
        <v>Robusta</v>
      </c>
      <c r="O746" t="str">
        <f t="shared" si="11"/>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9">
        <f>INDEX(products!$A$1:$G$49,MATCH(orders!$D747,products!$A$1:$A$49,0),MATCH(orders!K$1,products!$A$1:$G$1,0))</f>
        <v>0.5</v>
      </c>
      <c r="L747" s="5">
        <f>INDEX(products!$A$1:$G$49,MATCH(orders!$D747,products!$A$1:$A$49,0),MATCH(orders!L$1,products!$A$1:$G$1,0))</f>
        <v>7.29</v>
      </c>
      <c r="M747">
        <f>L747*E747</f>
        <v>14.58</v>
      </c>
      <c r="N747" t="str">
        <f>IF(I747="Rob","Robusta",IF(I747="Exc","Excelsa",IF(I747="Ara","Arabica",IF(I747="Lib","Liberica",""))))</f>
        <v>Excelsa</v>
      </c>
      <c r="O747" t="str">
        <f t="shared" si="11"/>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9">
        <f>INDEX(products!$A$1:$G$49,MATCH(orders!$D748,products!$A$1:$A$49,0),MATCH(orders!K$1,products!$A$1:$G$1,0))</f>
        <v>1</v>
      </c>
      <c r="L748" s="5">
        <f>INDEX(products!$A$1:$G$49,MATCH(orders!$D748,products!$A$1:$A$49,0),MATCH(orders!L$1,products!$A$1:$G$1,0))</f>
        <v>11.25</v>
      </c>
      <c r="M748">
        <f>L748*E748</f>
        <v>33.75</v>
      </c>
      <c r="N748" t="str">
        <f>IF(I748="Rob","Robusta",IF(I748="Exc","Excelsa",IF(I748="Ara","Arabica",IF(I748="Lib","Liberica",""))))</f>
        <v>Arabica</v>
      </c>
      <c r="O748" t="str">
        <f t="shared" si="11"/>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9">
        <f>INDEX(products!$A$1:$G$49,MATCH(orders!$D749,products!$A$1:$A$49,0),MATCH(orders!K$1,products!$A$1:$G$1,0))</f>
        <v>0.5</v>
      </c>
      <c r="L749" s="5">
        <f>INDEX(products!$A$1:$G$49,MATCH(orders!$D749,products!$A$1:$A$49,0),MATCH(orders!L$1,products!$A$1:$G$1,0))</f>
        <v>8.73</v>
      </c>
      <c r="M749">
        <f>L749*E749</f>
        <v>34.92</v>
      </c>
      <c r="N749" t="str">
        <f>IF(I749="Rob","Robusta",IF(I749="Exc","Excelsa",IF(I749="Ara","Arabica",IF(I749="Lib","Liberica",""))))</f>
        <v>Liberica</v>
      </c>
      <c r="O749" t="str">
        <f t="shared" si="11"/>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9">
        <f>INDEX(products!$A$1:$G$49,MATCH(orders!$D750,products!$A$1:$A$49,0),MATCH(orders!K$1,products!$A$1:$G$1,0))</f>
        <v>0.5</v>
      </c>
      <c r="L750" s="5">
        <f>INDEX(products!$A$1:$G$49,MATCH(orders!$D750,products!$A$1:$A$49,0),MATCH(orders!L$1,products!$A$1:$G$1,0))</f>
        <v>7.29</v>
      </c>
      <c r="M750">
        <f>L750*E750</f>
        <v>14.58</v>
      </c>
      <c r="N750" t="str">
        <f>IF(I750="Rob","Robusta",IF(I750="Exc","Excelsa",IF(I750="Ara","Arabica",IF(I750="Lib","Liberica",""))))</f>
        <v>Excelsa</v>
      </c>
      <c r="O750" t="str">
        <f t="shared" si="11"/>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9">
        <f>INDEX(products!$A$1:$G$49,MATCH(orders!$D751,products!$A$1:$A$49,0),MATCH(orders!K$1,products!$A$1:$G$1,0))</f>
        <v>0.2</v>
      </c>
      <c r="L751" s="5">
        <f>INDEX(products!$A$1:$G$49,MATCH(orders!$D751,products!$A$1:$A$49,0),MATCH(orders!L$1,products!$A$1:$G$1,0))</f>
        <v>2.6849999999999996</v>
      </c>
      <c r="M751">
        <f>L751*E751</f>
        <v>5.3699999999999992</v>
      </c>
      <c r="N751" t="str">
        <f>IF(I751="Rob","Robusta",IF(I751="Exc","Excelsa",IF(I751="Ara","Arabica",IF(I751="Lib","Liberica",""))))</f>
        <v>Robusta</v>
      </c>
      <c r="O751" t="str">
        <f t="shared" si="11"/>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f>_xlfn.XLOOKUP(C752,customers!$A$1:$A$1001,customers!$C$1:$C$1001,,0)</f>
        <v>0</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9">
        <f>INDEX(products!$A$1:$G$49,MATCH(orders!$D752,products!$A$1:$A$49,0),MATCH(orders!K$1,products!$A$1:$G$1,0))</f>
        <v>0.5</v>
      </c>
      <c r="L752" s="5">
        <f>INDEX(products!$A$1:$G$49,MATCH(orders!$D752,products!$A$1:$A$49,0),MATCH(orders!L$1,products!$A$1:$G$1,0))</f>
        <v>5.97</v>
      </c>
      <c r="M752">
        <f>L752*E752</f>
        <v>5.97</v>
      </c>
      <c r="N752" t="str">
        <f>IF(I752="Rob","Robusta",IF(I752="Exc","Excelsa",IF(I752="Ara","Arabica",IF(I752="Lib","Liberica",""))))</f>
        <v>Robusta</v>
      </c>
      <c r="O752" t="str">
        <f t="shared" si="11"/>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9">
        <f>INDEX(products!$A$1:$G$49,MATCH(orders!$D753,products!$A$1:$A$49,0),MATCH(orders!K$1,products!$A$1:$G$1,0))</f>
        <v>0.5</v>
      </c>
      <c r="L753" s="5">
        <f>INDEX(products!$A$1:$G$49,MATCH(orders!$D753,products!$A$1:$A$49,0),MATCH(orders!L$1,products!$A$1:$G$1,0))</f>
        <v>9.51</v>
      </c>
      <c r="M753">
        <f>L753*E753</f>
        <v>19.02</v>
      </c>
      <c r="N753" t="str">
        <f>IF(I753="Rob","Robusta",IF(I753="Exc","Excelsa",IF(I753="Ara","Arabica",IF(I753="Lib","Liberica",""))))</f>
        <v>Liberica</v>
      </c>
      <c r="O753" t="str">
        <f t="shared" si="11"/>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9">
        <f>INDEX(products!$A$1:$G$49,MATCH(orders!$D754,products!$A$1:$A$49,0),MATCH(orders!K$1,products!$A$1:$G$1,0))</f>
        <v>1</v>
      </c>
      <c r="L754" s="5">
        <f>INDEX(products!$A$1:$G$49,MATCH(orders!$D754,products!$A$1:$A$49,0),MATCH(orders!L$1,products!$A$1:$G$1,0))</f>
        <v>13.75</v>
      </c>
      <c r="M754">
        <f>L754*E754</f>
        <v>27.5</v>
      </c>
      <c r="N754" t="str">
        <f>IF(I754="Rob","Robusta",IF(I754="Exc","Excelsa",IF(I754="Ara","Arabica",IF(I754="Lib","Liberica",""))))</f>
        <v>Excelsa</v>
      </c>
      <c r="O754" t="str">
        <f t="shared" si="11"/>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9">
        <f>INDEX(products!$A$1:$G$49,MATCH(orders!$D755,products!$A$1:$A$49,0),MATCH(orders!K$1,products!$A$1:$G$1,0))</f>
        <v>0.5</v>
      </c>
      <c r="L755" s="5">
        <f>INDEX(products!$A$1:$G$49,MATCH(orders!$D755,products!$A$1:$A$49,0),MATCH(orders!L$1,products!$A$1:$G$1,0))</f>
        <v>5.97</v>
      </c>
      <c r="M755">
        <f>L755*E755</f>
        <v>29.849999999999998</v>
      </c>
      <c r="N755" t="str">
        <f>IF(I755="Rob","Robusta",IF(I755="Exc","Excelsa",IF(I755="Ara","Arabica",IF(I755="Lib","Liberica",""))))</f>
        <v>Arabica</v>
      </c>
      <c r="O755" t="str">
        <f t="shared" si="11"/>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9">
        <f>INDEX(products!$A$1:$G$49,MATCH(orders!$D756,products!$A$1:$A$49,0),MATCH(orders!K$1,products!$A$1:$G$1,0))</f>
        <v>0.2</v>
      </c>
      <c r="L756" s="5">
        <f>INDEX(products!$A$1:$G$49,MATCH(orders!$D756,products!$A$1:$A$49,0),MATCH(orders!L$1,products!$A$1:$G$1,0))</f>
        <v>2.9849999999999999</v>
      </c>
      <c r="M756">
        <f>L756*E756</f>
        <v>17.91</v>
      </c>
      <c r="N756" t="str">
        <f>IF(I756="Rob","Robusta",IF(I756="Exc","Excelsa",IF(I756="Ara","Arabica",IF(I756="Lib","Liberica",""))))</f>
        <v>Arabica</v>
      </c>
      <c r="O756" t="str">
        <f t="shared" si="11"/>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9">
        <f>INDEX(products!$A$1:$G$49,MATCH(orders!$D757,products!$A$1:$A$49,0),MATCH(orders!K$1,products!$A$1:$G$1,0))</f>
        <v>0.2</v>
      </c>
      <c r="L757" s="5">
        <f>INDEX(products!$A$1:$G$49,MATCH(orders!$D757,products!$A$1:$A$49,0),MATCH(orders!L$1,products!$A$1:$G$1,0))</f>
        <v>4.7549999999999999</v>
      </c>
      <c r="M757">
        <f>L757*E757</f>
        <v>28.53</v>
      </c>
      <c r="N757" t="str">
        <f>IF(I757="Rob","Robusta",IF(I757="Exc","Excelsa",IF(I757="Ara","Arabica",IF(I757="Lib","Liberica",""))))</f>
        <v>Liberica</v>
      </c>
      <c r="O757" t="str">
        <f t="shared" si="11"/>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9">
        <f>INDEX(products!$A$1:$G$49,MATCH(orders!$D758,products!$A$1:$A$49,0),MATCH(orders!K$1,products!$A$1:$G$1,0))</f>
        <v>1</v>
      </c>
      <c r="L758" s="5">
        <f>INDEX(products!$A$1:$G$49,MATCH(orders!$D758,products!$A$1:$A$49,0),MATCH(orders!L$1,products!$A$1:$G$1,0))</f>
        <v>8.9499999999999993</v>
      </c>
      <c r="M758">
        <f>L758*E758</f>
        <v>35.799999999999997</v>
      </c>
      <c r="N758" t="str">
        <f>IF(I758="Rob","Robusta",IF(I758="Exc","Excelsa",IF(I758="Ara","Arabica",IF(I758="Lib","Liberica",""))))</f>
        <v>Robusta</v>
      </c>
      <c r="O758" t="str">
        <f t="shared" si="11"/>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9">
        <f>INDEX(products!$A$1:$G$49,MATCH(orders!$D759,products!$A$1:$A$49,0),MATCH(orders!K$1,products!$A$1:$G$1,0))</f>
        <v>0.5</v>
      </c>
      <c r="L759" s="5">
        <f>INDEX(products!$A$1:$G$49,MATCH(orders!$D759,products!$A$1:$A$49,0),MATCH(orders!L$1,products!$A$1:$G$1,0))</f>
        <v>5.97</v>
      </c>
      <c r="M759">
        <f>L759*E759</f>
        <v>17.91</v>
      </c>
      <c r="N759" t="str">
        <f>IF(I759="Rob","Robusta",IF(I759="Exc","Excelsa",IF(I759="Ara","Arabica",IF(I759="Lib","Liberica",""))))</f>
        <v>Arabica</v>
      </c>
      <c r="O759" t="str">
        <f t="shared" si="11"/>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9">
        <f>INDEX(products!$A$1:$G$49,MATCH(orders!$D760,products!$A$1:$A$49,0),MATCH(orders!K$1,products!$A$1:$G$1,0))</f>
        <v>1</v>
      </c>
      <c r="L760" s="5">
        <f>INDEX(products!$A$1:$G$49,MATCH(orders!$D760,products!$A$1:$A$49,0),MATCH(orders!L$1,products!$A$1:$G$1,0))</f>
        <v>8.9499999999999993</v>
      </c>
      <c r="M760">
        <f>L760*E760</f>
        <v>8.9499999999999993</v>
      </c>
      <c r="N760" t="str">
        <f>IF(I760="Rob","Robusta",IF(I760="Exc","Excelsa",IF(I760="Ara","Arabica",IF(I760="Lib","Liberica",""))))</f>
        <v>Robusta</v>
      </c>
      <c r="O760" t="str">
        <f t="shared" si="11"/>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9">
        <f>INDEX(products!$A$1:$G$49,MATCH(orders!$D761,products!$A$1:$A$49,0),MATCH(orders!K$1,products!$A$1:$G$1,0))</f>
        <v>2.5</v>
      </c>
      <c r="L761" s="5">
        <f>INDEX(products!$A$1:$G$49,MATCH(orders!$D761,products!$A$1:$A$49,0),MATCH(orders!L$1,products!$A$1:$G$1,0))</f>
        <v>29.784999999999997</v>
      </c>
      <c r="M761">
        <f>L761*E761</f>
        <v>29.784999999999997</v>
      </c>
      <c r="N761" t="str">
        <f>IF(I761="Rob","Robusta",IF(I761="Exc","Excelsa",IF(I761="Ara","Arabica",IF(I761="Lib","Liberica",""))))</f>
        <v>Liberica</v>
      </c>
      <c r="O761" t="str">
        <f t="shared" si="11"/>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9">
        <f>INDEX(products!$A$1:$G$49,MATCH(orders!$D762,products!$A$1:$A$49,0),MATCH(orders!K$1,products!$A$1:$G$1,0))</f>
        <v>0.5</v>
      </c>
      <c r="L762" s="5">
        <f>INDEX(products!$A$1:$G$49,MATCH(orders!$D762,products!$A$1:$A$49,0),MATCH(orders!L$1,products!$A$1:$G$1,0))</f>
        <v>8.91</v>
      </c>
      <c r="M762">
        <f>L762*E762</f>
        <v>44.55</v>
      </c>
      <c r="N762" t="str">
        <f>IF(I762="Rob","Robusta",IF(I762="Exc","Excelsa",IF(I762="Ara","Arabica",IF(I762="Lib","Liberica",""))))</f>
        <v>Excelsa</v>
      </c>
      <c r="O762" t="str">
        <f t="shared" si="11"/>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9">
        <f>INDEX(products!$A$1:$G$49,MATCH(orders!$D763,products!$A$1:$A$49,0),MATCH(orders!K$1,products!$A$1:$G$1,0))</f>
        <v>1</v>
      </c>
      <c r="L763" s="5">
        <f>INDEX(products!$A$1:$G$49,MATCH(orders!$D763,products!$A$1:$A$49,0),MATCH(orders!L$1,products!$A$1:$G$1,0))</f>
        <v>14.85</v>
      </c>
      <c r="M763">
        <f>L763*E763</f>
        <v>89.1</v>
      </c>
      <c r="N763" t="str">
        <f>IF(I763="Rob","Robusta",IF(I763="Exc","Excelsa",IF(I763="Ara","Arabica",IF(I763="Lib","Liberica",""))))</f>
        <v>Excelsa</v>
      </c>
      <c r="O763" t="str">
        <f t="shared" si="11"/>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9">
        <f>INDEX(products!$A$1:$G$49,MATCH(orders!$D764,products!$A$1:$A$49,0),MATCH(orders!K$1,products!$A$1:$G$1,0))</f>
        <v>0.5</v>
      </c>
      <c r="L764" s="5">
        <f>INDEX(products!$A$1:$G$49,MATCH(orders!$D764,products!$A$1:$A$49,0),MATCH(orders!L$1,products!$A$1:$G$1,0))</f>
        <v>8.73</v>
      </c>
      <c r="M764">
        <f>L764*E764</f>
        <v>43.650000000000006</v>
      </c>
      <c r="N764" t="str">
        <f>IF(I764="Rob","Robusta",IF(I764="Exc","Excelsa",IF(I764="Ara","Arabica",IF(I764="Lib","Liberica",""))))</f>
        <v>Liberica</v>
      </c>
      <c r="O764" t="str">
        <f t="shared" si="11"/>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f>_xlfn.XLOOKUP(C765,customers!$A$1:$A$1001,customers!$C$1:$C$1001,,0)</f>
        <v>0</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9">
        <f>INDEX(products!$A$1:$G$49,MATCH(orders!$D765,products!$A$1:$A$49,0),MATCH(orders!K$1,products!$A$1:$G$1,0))</f>
        <v>0.5</v>
      </c>
      <c r="L765" s="5">
        <f>INDEX(products!$A$1:$G$49,MATCH(orders!$D765,products!$A$1:$A$49,0),MATCH(orders!L$1,products!$A$1:$G$1,0))</f>
        <v>7.77</v>
      </c>
      <c r="M765">
        <f>L765*E765</f>
        <v>23.31</v>
      </c>
      <c r="N765" t="str">
        <f>IF(I765="Rob","Robusta",IF(I765="Exc","Excelsa",IF(I765="Ara","Arabica",IF(I765="Lib","Liberica",""))))</f>
        <v>Arabica</v>
      </c>
      <c r="O765" t="str">
        <f t="shared" si="11"/>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9">
        <f>INDEX(products!$A$1:$G$49,MATCH(orders!$D766,products!$A$1:$A$49,0),MATCH(orders!K$1,products!$A$1:$G$1,0))</f>
        <v>2.5</v>
      </c>
      <c r="L766" s="5">
        <f>INDEX(products!$A$1:$G$49,MATCH(orders!$D766,products!$A$1:$A$49,0),MATCH(orders!L$1,products!$A$1:$G$1,0))</f>
        <v>29.784999999999997</v>
      </c>
      <c r="M766">
        <f>L766*E766</f>
        <v>178.70999999999998</v>
      </c>
      <c r="N766" t="str">
        <f>IF(I766="Rob","Robusta",IF(I766="Exc","Excelsa",IF(I766="Ara","Arabica",IF(I766="Lib","Liberica",""))))</f>
        <v>Arabica</v>
      </c>
      <c r="O766" t="str">
        <f t="shared" si="11"/>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9">
        <f>INDEX(products!$A$1:$G$49,MATCH(orders!$D767,products!$A$1:$A$49,0),MATCH(orders!K$1,products!$A$1:$G$1,0))</f>
        <v>1</v>
      </c>
      <c r="L767" s="5">
        <f>INDEX(products!$A$1:$G$49,MATCH(orders!$D767,products!$A$1:$A$49,0),MATCH(orders!L$1,products!$A$1:$G$1,0))</f>
        <v>9.9499999999999993</v>
      </c>
      <c r="M767">
        <f>L767*E767</f>
        <v>59.699999999999996</v>
      </c>
      <c r="N767" t="str">
        <f>IF(I767="Rob","Robusta",IF(I767="Exc","Excelsa",IF(I767="Ara","Arabica",IF(I767="Lib","Liberica",""))))</f>
        <v>Robusta</v>
      </c>
      <c r="O767" t="str">
        <f t="shared" si="11"/>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9">
        <f>INDEX(products!$A$1:$G$49,MATCH(orders!$D768,products!$A$1:$A$49,0),MATCH(orders!K$1,products!$A$1:$G$1,0))</f>
        <v>0.5</v>
      </c>
      <c r="L768" s="5">
        <f>INDEX(products!$A$1:$G$49,MATCH(orders!$D768,products!$A$1:$A$49,0),MATCH(orders!L$1,products!$A$1:$G$1,0))</f>
        <v>7.77</v>
      </c>
      <c r="M768">
        <f>L768*E768</f>
        <v>15.54</v>
      </c>
      <c r="N768" t="str">
        <f>IF(I768="Rob","Robusta",IF(I768="Exc","Excelsa",IF(I768="Ara","Arabica",IF(I768="Lib","Liberica",""))))</f>
        <v>Arabica</v>
      </c>
      <c r="O768" t="str">
        <f t="shared" si="11"/>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9">
        <f>INDEX(products!$A$1:$G$49,MATCH(orders!$D769,products!$A$1:$A$49,0),MATCH(orders!K$1,products!$A$1:$G$1,0))</f>
        <v>2.5</v>
      </c>
      <c r="L769" s="5">
        <f>INDEX(products!$A$1:$G$49,MATCH(orders!$D769,products!$A$1:$A$49,0),MATCH(orders!L$1,products!$A$1:$G$1,0))</f>
        <v>29.784999999999997</v>
      </c>
      <c r="M769">
        <f>L769*E769</f>
        <v>89.35499999999999</v>
      </c>
      <c r="N769" t="str">
        <f>IF(I769="Rob","Robusta",IF(I769="Exc","Excelsa",IF(I769="Ara","Arabica",IF(I769="Lib","Liberica",""))))</f>
        <v>Arabica</v>
      </c>
      <c r="O769" t="str">
        <f t="shared" si="11"/>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9">
        <f>INDEX(products!$A$1:$G$49,MATCH(orders!$D770,products!$A$1:$A$49,0),MATCH(orders!K$1,products!$A$1:$G$1,0))</f>
        <v>1</v>
      </c>
      <c r="L770" s="5">
        <f>INDEX(products!$A$1:$G$49,MATCH(orders!$D770,products!$A$1:$A$49,0),MATCH(orders!L$1,products!$A$1:$G$1,0))</f>
        <v>11.95</v>
      </c>
      <c r="M770">
        <f>L770*E770</f>
        <v>23.9</v>
      </c>
      <c r="N770" t="str">
        <f>IF(I770="Rob","Robusta",IF(I770="Exc","Excelsa",IF(I770="Ara","Arabica",IF(I770="Lib","Liberica",""))))</f>
        <v>Robusta</v>
      </c>
      <c r="O770" t="str">
        <f t="shared" si="11"/>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9">
        <f>INDEX(products!$A$1:$G$49,MATCH(orders!$D771,products!$A$1:$A$49,0),MATCH(orders!K$1,products!$A$1:$G$1,0))</f>
        <v>2.5</v>
      </c>
      <c r="L771" s="5">
        <f>INDEX(products!$A$1:$G$49,MATCH(orders!$D771,products!$A$1:$A$49,0),MATCH(orders!L$1,products!$A$1:$G$1,0))</f>
        <v>22.884999999999998</v>
      </c>
      <c r="M771">
        <f>L771*E771</f>
        <v>137.31</v>
      </c>
      <c r="N771" t="str">
        <f>IF(I771="Rob","Robusta",IF(I771="Exc","Excelsa",IF(I771="Ara","Arabica",IF(I771="Lib","Liberica",""))))</f>
        <v>Robusta</v>
      </c>
      <c r="O771" t="str">
        <f t="shared" ref="O771:O834" si="12">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9">
        <f>INDEX(products!$A$1:$G$49,MATCH(orders!$D772,products!$A$1:$A$49,0),MATCH(orders!K$1,products!$A$1:$G$1,0))</f>
        <v>1</v>
      </c>
      <c r="L772" s="5">
        <f>INDEX(products!$A$1:$G$49,MATCH(orders!$D772,products!$A$1:$A$49,0),MATCH(orders!L$1,products!$A$1:$G$1,0))</f>
        <v>9.9499999999999993</v>
      </c>
      <c r="M772">
        <f>L772*E772</f>
        <v>9.9499999999999993</v>
      </c>
      <c r="N772" t="str">
        <f>IF(I772="Rob","Robusta",IF(I772="Exc","Excelsa",IF(I772="Ara","Arabica",IF(I772="Lib","Liberica",""))))</f>
        <v>Arabica</v>
      </c>
      <c r="O772" t="str">
        <f t="shared" si="12"/>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9">
        <f>INDEX(products!$A$1:$G$49,MATCH(orders!$D773,products!$A$1:$A$49,0),MATCH(orders!K$1,products!$A$1:$G$1,0))</f>
        <v>0.5</v>
      </c>
      <c r="L773" s="5">
        <f>INDEX(products!$A$1:$G$49,MATCH(orders!$D773,products!$A$1:$A$49,0),MATCH(orders!L$1,products!$A$1:$G$1,0))</f>
        <v>7.169999999999999</v>
      </c>
      <c r="M773">
        <f>L773*E773</f>
        <v>21.509999999999998</v>
      </c>
      <c r="N773" t="str">
        <f>IF(I773="Rob","Robusta",IF(I773="Exc","Excelsa",IF(I773="Ara","Arabica",IF(I773="Lib","Liberica",""))))</f>
        <v>Robusta</v>
      </c>
      <c r="O773" t="str">
        <f t="shared" si="12"/>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f>_xlfn.XLOOKUP(C774,customers!$A$1:$A$1001,customers!$C$1:$C$1001,,0)</f>
        <v>0</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9">
        <f>INDEX(products!$A$1:$G$49,MATCH(orders!$D774,products!$A$1:$A$49,0),MATCH(orders!K$1,products!$A$1:$G$1,0))</f>
        <v>1</v>
      </c>
      <c r="L774" s="5">
        <f>INDEX(products!$A$1:$G$49,MATCH(orders!$D774,products!$A$1:$A$49,0),MATCH(orders!L$1,products!$A$1:$G$1,0))</f>
        <v>13.75</v>
      </c>
      <c r="M774">
        <f>L774*E774</f>
        <v>82.5</v>
      </c>
      <c r="N774" t="str">
        <f>IF(I774="Rob","Robusta",IF(I774="Exc","Excelsa",IF(I774="Ara","Arabica",IF(I774="Lib","Liberica",""))))</f>
        <v>Excelsa</v>
      </c>
      <c r="O774" t="str">
        <f t="shared" si="12"/>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9">
        <f>INDEX(products!$A$1:$G$49,MATCH(orders!$D775,products!$A$1:$A$49,0),MATCH(orders!K$1,products!$A$1:$G$1,0))</f>
        <v>0.2</v>
      </c>
      <c r="L775" s="5">
        <f>INDEX(products!$A$1:$G$49,MATCH(orders!$D775,products!$A$1:$A$49,0),MATCH(orders!L$1,products!$A$1:$G$1,0))</f>
        <v>4.3650000000000002</v>
      </c>
      <c r="M775">
        <f>L775*E775</f>
        <v>8.73</v>
      </c>
      <c r="N775" t="str">
        <f>IF(I775="Rob","Robusta",IF(I775="Exc","Excelsa",IF(I775="Ara","Arabica",IF(I775="Lib","Liberica",""))))</f>
        <v>Liberica</v>
      </c>
      <c r="O775" t="str">
        <f t="shared" si="12"/>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f>_xlfn.XLOOKUP(C776,customers!$A$1:$A$1001,customers!$C$1:$C$1001,,0)</f>
        <v>0</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9">
        <f>INDEX(products!$A$1:$G$49,MATCH(orders!$D776,products!$A$1:$A$49,0),MATCH(orders!K$1,products!$A$1:$G$1,0))</f>
        <v>1</v>
      </c>
      <c r="L776" s="5">
        <f>INDEX(products!$A$1:$G$49,MATCH(orders!$D776,products!$A$1:$A$49,0),MATCH(orders!L$1,products!$A$1:$G$1,0))</f>
        <v>9.9499999999999993</v>
      </c>
      <c r="M776">
        <f>L776*E776</f>
        <v>19.899999999999999</v>
      </c>
      <c r="N776" t="str">
        <f>IF(I776="Rob","Robusta",IF(I776="Exc","Excelsa",IF(I776="Ara","Arabica",IF(I776="Lib","Liberica",""))))</f>
        <v>Robusta</v>
      </c>
      <c r="O776" t="str">
        <f t="shared" si="12"/>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9">
        <f>INDEX(products!$A$1:$G$49,MATCH(orders!$D777,products!$A$1:$A$49,0),MATCH(orders!K$1,products!$A$1:$G$1,0))</f>
        <v>0.5</v>
      </c>
      <c r="L777" s="5">
        <f>INDEX(products!$A$1:$G$49,MATCH(orders!$D777,products!$A$1:$A$49,0),MATCH(orders!L$1,products!$A$1:$G$1,0))</f>
        <v>8.91</v>
      </c>
      <c r="M777">
        <f>L777*E777</f>
        <v>17.82</v>
      </c>
      <c r="N777" t="str">
        <f>IF(I777="Rob","Robusta",IF(I777="Exc","Excelsa",IF(I777="Ara","Arabica",IF(I777="Lib","Liberica",""))))</f>
        <v>Excelsa</v>
      </c>
      <c r="O777" t="str">
        <f t="shared" si="12"/>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9">
        <f>INDEX(products!$A$1:$G$49,MATCH(orders!$D778,products!$A$1:$A$49,0),MATCH(orders!K$1,products!$A$1:$G$1,0))</f>
        <v>0.5</v>
      </c>
      <c r="L778" s="5">
        <f>INDEX(products!$A$1:$G$49,MATCH(orders!$D778,products!$A$1:$A$49,0),MATCH(orders!L$1,products!$A$1:$G$1,0))</f>
        <v>6.75</v>
      </c>
      <c r="M778">
        <f>L778*E778</f>
        <v>20.25</v>
      </c>
      <c r="N778" t="str">
        <f>IF(I778="Rob","Robusta",IF(I778="Exc","Excelsa",IF(I778="Ara","Arabica",IF(I778="Lib","Liberica",""))))</f>
        <v>Arabica</v>
      </c>
      <c r="O778" t="str">
        <f t="shared" si="12"/>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9">
        <f>INDEX(products!$A$1:$G$49,MATCH(orders!$D779,products!$A$1:$A$49,0),MATCH(orders!K$1,products!$A$1:$G$1,0))</f>
        <v>2.5</v>
      </c>
      <c r="L779" s="5">
        <f>INDEX(products!$A$1:$G$49,MATCH(orders!$D779,products!$A$1:$A$49,0),MATCH(orders!L$1,products!$A$1:$G$1,0))</f>
        <v>29.784999999999997</v>
      </c>
      <c r="M779">
        <f>L779*E779</f>
        <v>59.569999999999993</v>
      </c>
      <c r="N779" t="str">
        <f>IF(I779="Rob","Robusta",IF(I779="Exc","Excelsa",IF(I779="Ara","Arabica",IF(I779="Lib","Liberica",""))))</f>
        <v>Arabica</v>
      </c>
      <c r="O779" t="str">
        <f t="shared" si="12"/>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9">
        <f>INDEX(products!$A$1:$G$49,MATCH(orders!$D780,products!$A$1:$A$49,0),MATCH(orders!K$1,products!$A$1:$G$1,0))</f>
        <v>0.5</v>
      </c>
      <c r="L780" s="5">
        <f>INDEX(products!$A$1:$G$49,MATCH(orders!$D780,products!$A$1:$A$49,0),MATCH(orders!L$1,products!$A$1:$G$1,0))</f>
        <v>9.51</v>
      </c>
      <c r="M780">
        <f>L780*E780</f>
        <v>19.02</v>
      </c>
      <c r="N780" t="str">
        <f>IF(I780="Rob","Robusta",IF(I780="Exc","Excelsa",IF(I780="Ara","Arabica",IF(I780="Lib","Liberica",""))))</f>
        <v>Liberica</v>
      </c>
      <c r="O780" t="str">
        <f t="shared" si="12"/>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9">
        <f>INDEX(products!$A$1:$G$49,MATCH(orders!$D781,products!$A$1:$A$49,0),MATCH(orders!K$1,products!$A$1:$G$1,0))</f>
        <v>1</v>
      </c>
      <c r="L781" s="5">
        <f>INDEX(products!$A$1:$G$49,MATCH(orders!$D781,products!$A$1:$A$49,0),MATCH(orders!L$1,products!$A$1:$G$1,0))</f>
        <v>12.95</v>
      </c>
      <c r="M781">
        <f>L781*E781</f>
        <v>77.699999999999989</v>
      </c>
      <c r="N781" t="str">
        <f>IF(I781="Rob","Robusta",IF(I781="Exc","Excelsa",IF(I781="Ara","Arabica",IF(I781="Lib","Liberica",""))))</f>
        <v>Liberica</v>
      </c>
      <c r="O781" t="str">
        <f t="shared" si="12"/>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f>_xlfn.XLOOKUP(C782,customers!$A$1:$A$1001,customers!$C$1:$C$1001,,0)</f>
        <v>0</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9">
        <f>INDEX(products!$A$1:$G$49,MATCH(orders!$D782,products!$A$1:$A$49,0),MATCH(orders!K$1,products!$A$1:$G$1,0))</f>
        <v>1</v>
      </c>
      <c r="L782" s="5">
        <f>INDEX(products!$A$1:$G$49,MATCH(orders!$D782,products!$A$1:$A$49,0),MATCH(orders!L$1,products!$A$1:$G$1,0))</f>
        <v>13.75</v>
      </c>
      <c r="M782">
        <f>L782*E782</f>
        <v>41.25</v>
      </c>
      <c r="N782" t="str">
        <f>IF(I782="Rob","Robusta",IF(I782="Exc","Excelsa",IF(I782="Ara","Arabica",IF(I782="Lib","Liberica",""))))</f>
        <v>Excelsa</v>
      </c>
      <c r="O782" t="str">
        <f t="shared" si="12"/>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9">
        <f>INDEX(products!$A$1:$G$49,MATCH(orders!$D783,products!$A$1:$A$49,0),MATCH(orders!K$1,products!$A$1:$G$1,0))</f>
        <v>2.5</v>
      </c>
      <c r="L783" s="5">
        <f>INDEX(products!$A$1:$G$49,MATCH(orders!$D783,products!$A$1:$A$49,0),MATCH(orders!L$1,products!$A$1:$G$1,0))</f>
        <v>36.454999999999998</v>
      </c>
      <c r="M783">
        <f>L783*E783</f>
        <v>145.82</v>
      </c>
      <c r="N783" t="str">
        <f>IF(I783="Rob","Robusta",IF(I783="Exc","Excelsa",IF(I783="Ara","Arabica",IF(I783="Lib","Liberica",""))))</f>
        <v>Liberica</v>
      </c>
      <c r="O783" t="str">
        <f t="shared" si="12"/>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9">
        <f>INDEX(products!$A$1:$G$49,MATCH(orders!$D784,products!$A$1:$A$49,0),MATCH(orders!K$1,products!$A$1:$G$1,0))</f>
        <v>0.2</v>
      </c>
      <c r="L784" s="5">
        <f>INDEX(products!$A$1:$G$49,MATCH(orders!$D784,products!$A$1:$A$49,0),MATCH(orders!L$1,products!$A$1:$G$1,0))</f>
        <v>4.4550000000000001</v>
      </c>
      <c r="M784">
        <f>L784*E784</f>
        <v>26.73</v>
      </c>
      <c r="N784" t="str">
        <f>IF(I784="Rob","Robusta",IF(I784="Exc","Excelsa",IF(I784="Ara","Arabica",IF(I784="Lib","Liberica",""))))</f>
        <v>Excelsa</v>
      </c>
      <c r="O784" t="str">
        <f t="shared" si="12"/>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9">
        <f>INDEX(products!$A$1:$G$49,MATCH(orders!$D785,products!$A$1:$A$49,0),MATCH(orders!K$1,products!$A$1:$G$1,0))</f>
        <v>0.5</v>
      </c>
      <c r="L785" s="5">
        <f>INDEX(products!$A$1:$G$49,MATCH(orders!$D785,products!$A$1:$A$49,0),MATCH(orders!L$1,products!$A$1:$G$1,0))</f>
        <v>8.73</v>
      </c>
      <c r="M785">
        <f>L785*E785</f>
        <v>43.650000000000006</v>
      </c>
      <c r="N785" t="str">
        <f>IF(I785="Rob","Robusta",IF(I785="Exc","Excelsa",IF(I785="Ara","Arabica",IF(I785="Lib","Liberica",""))))</f>
        <v>Liberica</v>
      </c>
      <c r="O785" t="str">
        <f t="shared" si="12"/>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9">
        <f>INDEX(products!$A$1:$G$49,MATCH(orders!$D786,products!$A$1:$A$49,0),MATCH(orders!K$1,products!$A$1:$G$1,0))</f>
        <v>1</v>
      </c>
      <c r="L786" s="5">
        <f>INDEX(products!$A$1:$G$49,MATCH(orders!$D786,products!$A$1:$A$49,0),MATCH(orders!L$1,products!$A$1:$G$1,0))</f>
        <v>15.85</v>
      </c>
      <c r="M786">
        <f>L786*E786</f>
        <v>31.7</v>
      </c>
      <c r="N786" t="str">
        <f>IF(I786="Rob","Robusta",IF(I786="Exc","Excelsa",IF(I786="Ara","Arabica",IF(I786="Lib","Liberica",""))))</f>
        <v>Liberica</v>
      </c>
      <c r="O786" t="str">
        <f t="shared" si="12"/>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9">
        <f>INDEX(products!$A$1:$G$49,MATCH(orders!$D787,products!$A$1:$A$49,0),MATCH(orders!K$1,products!$A$1:$G$1,0))</f>
        <v>2.5</v>
      </c>
      <c r="L787" s="5">
        <f>INDEX(products!$A$1:$G$49,MATCH(orders!$D787,products!$A$1:$A$49,0),MATCH(orders!L$1,products!$A$1:$G$1,0))</f>
        <v>22.884999999999998</v>
      </c>
      <c r="M787">
        <f>L787*E787</f>
        <v>22.884999999999998</v>
      </c>
      <c r="N787" t="str">
        <f>IF(I787="Rob","Robusta",IF(I787="Exc","Excelsa",IF(I787="Ara","Arabica",IF(I787="Lib","Liberica",""))))</f>
        <v>Arabica</v>
      </c>
      <c r="O787" t="str">
        <f t="shared" si="12"/>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9">
        <f>INDEX(products!$A$1:$G$49,MATCH(orders!$D788,products!$A$1:$A$49,0),MATCH(orders!K$1,products!$A$1:$G$1,0))</f>
        <v>2.5</v>
      </c>
      <c r="L788" s="5">
        <f>INDEX(products!$A$1:$G$49,MATCH(orders!$D788,products!$A$1:$A$49,0),MATCH(orders!L$1,products!$A$1:$G$1,0))</f>
        <v>27.945</v>
      </c>
      <c r="M788">
        <f>L788*E788</f>
        <v>27.945</v>
      </c>
      <c r="N788" t="str">
        <f>IF(I788="Rob","Robusta",IF(I788="Exc","Excelsa",IF(I788="Ara","Arabica",IF(I788="Lib","Liberica",""))))</f>
        <v>Excelsa</v>
      </c>
      <c r="O788" t="str">
        <f t="shared" si="12"/>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f>_xlfn.XLOOKUP(C789,customers!$A$1:$A$1001,customers!$C$1:$C$1001,,0)</f>
        <v>0</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9">
        <f>INDEX(products!$A$1:$G$49,MATCH(orders!$D789,products!$A$1:$A$49,0),MATCH(orders!K$1,products!$A$1:$G$1,0))</f>
        <v>1</v>
      </c>
      <c r="L789" s="5">
        <f>INDEX(products!$A$1:$G$49,MATCH(orders!$D789,products!$A$1:$A$49,0),MATCH(orders!L$1,products!$A$1:$G$1,0))</f>
        <v>13.75</v>
      </c>
      <c r="M789">
        <f>L789*E789</f>
        <v>82.5</v>
      </c>
      <c r="N789" t="str">
        <f>IF(I789="Rob","Robusta",IF(I789="Exc","Excelsa",IF(I789="Ara","Arabica",IF(I789="Lib","Liberica",""))))</f>
        <v>Excelsa</v>
      </c>
      <c r="O789" t="str">
        <f t="shared" si="12"/>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9">
        <f>INDEX(products!$A$1:$G$49,MATCH(orders!$D790,products!$A$1:$A$49,0),MATCH(orders!K$1,products!$A$1:$G$1,0))</f>
        <v>2.5</v>
      </c>
      <c r="L790" s="5">
        <f>INDEX(products!$A$1:$G$49,MATCH(orders!$D790,products!$A$1:$A$49,0),MATCH(orders!L$1,products!$A$1:$G$1,0))</f>
        <v>22.884999999999998</v>
      </c>
      <c r="M790">
        <f>L790*E790</f>
        <v>45.769999999999996</v>
      </c>
      <c r="N790" t="str">
        <f>IF(I790="Rob","Robusta",IF(I790="Exc","Excelsa",IF(I790="Ara","Arabica",IF(I790="Lib","Liberica",""))))</f>
        <v>Robusta</v>
      </c>
      <c r="O790" t="str">
        <f t="shared" si="12"/>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9">
        <f>INDEX(products!$A$1:$G$49,MATCH(orders!$D791,products!$A$1:$A$49,0),MATCH(orders!K$1,products!$A$1:$G$1,0))</f>
        <v>1</v>
      </c>
      <c r="L791" s="5">
        <f>INDEX(products!$A$1:$G$49,MATCH(orders!$D791,products!$A$1:$A$49,0),MATCH(orders!L$1,products!$A$1:$G$1,0))</f>
        <v>12.95</v>
      </c>
      <c r="M791">
        <f>L791*E791</f>
        <v>77.699999999999989</v>
      </c>
      <c r="N791" t="str">
        <f>IF(I791="Rob","Robusta",IF(I791="Exc","Excelsa",IF(I791="Ara","Arabica",IF(I791="Lib","Liberica",""))))</f>
        <v>Arabica</v>
      </c>
      <c r="O791" t="str">
        <f t="shared" si="12"/>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9">
        <f>INDEX(products!$A$1:$G$49,MATCH(orders!$D792,products!$A$1:$A$49,0),MATCH(orders!K$1,products!$A$1:$G$1,0))</f>
        <v>0.5</v>
      </c>
      <c r="L792" s="5">
        <f>INDEX(products!$A$1:$G$49,MATCH(orders!$D792,products!$A$1:$A$49,0),MATCH(orders!L$1,products!$A$1:$G$1,0))</f>
        <v>7.77</v>
      </c>
      <c r="M792">
        <f>L792*E792</f>
        <v>23.31</v>
      </c>
      <c r="N792" t="str">
        <f>IF(I792="Rob","Robusta",IF(I792="Exc","Excelsa",IF(I792="Ara","Arabica",IF(I792="Lib","Liberica",""))))</f>
        <v>Arabica</v>
      </c>
      <c r="O792" t="str">
        <f t="shared" si="12"/>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9">
        <f>INDEX(products!$A$1:$G$49,MATCH(orders!$D793,products!$A$1:$A$49,0),MATCH(orders!K$1,products!$A$1:$G$1,0))</f>
        <v>0.2</v>
      </c>
      <c r="L793" s="5">
        <f>INDEX(products!$A$1:$G$49,MATCH(orders!$D793,products!$A$1:$A$49,0),MATCH(orders!L$1,products!$A$1:$G$1,0))</f>
        <v>4.7549999999999999</v>
      </c>
      <c r="M793">
        <f>L793*E793</f>
        <v>23.774999999999999</v>
      </c>
      <c r="N793" t="str">
        <f>IF(I793="Rob","Robusta",IF(I793="Exc","Excelsa",IF(I793="Ara","Arabica",IF(I793="Lib","Liberica",""))))</f>
        <v>Liberica</v>
      </c>
      <c r="O793" t="str">
        <f t="shared" si="12"/>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9">
        <f>INDEX(products!$A$1:$G$49,MATCH(orders!$D794,products!$A$1:$A$49,0),MATCH(orders!K$1,products!$A$1:$G$1,0))</f>
        <v>0.5</v>
      </c>
      <c r="L794" s="5">
        <f>INDEX(products!$A$1:$G$49,MATCH(orders!$D794,products!$A$1:$A$49,0),MATCH(orders!L$1,products!$A$1:$G$1,0))</f>
        <v>8.73</v>
      </c>
      <c r="M794">
        <f>L794*E794</f>
        <v>52.38</v>
      </c>
      <c r="N794" t="str">
        <f>IF(I794="Rob","Robusta",IF(I794="Exc","Excelsa",IF(I794="Ara","Arabica",IF(I794="Lib","Liberica",""))))</f>
        <v>Liberica</v>
      </c>
      <c r="O794" t="str">
        <f t="shared" si="12"/>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9">
        <f>INDEX(products!$A$1:$G$49,MATCH(orders!$D795,products!$A$1:$A$49,0),MATCH(orders!K$1,products!$A$1:$G$1,0))</f>
        <v>0.2</v>
      </c>
      <c r="L795" s="5">
        <f>INDEX(products!$A$1:$G$49,MATCH(orders!$D795,products!$A$1:$A$49,0),MATCH(orders!L$1,products!$A$1:$G$1,0))</f>
        <v>3.5849999999999995</v>
      </c>
      <c r="M795">
        <f>L795*E795</f>
        <v>17.924999999999997</v>
      </c>
      <c r="N795" t="str">
        <f>IF(I795="Rob","Robusta",IF(I795="Exc","Excelsa",IF(I795="Ara","Arabica",IF(I795="Lib","Liberica",""))))</f>
        <v>Robusta</v>
      </c>
      <c r="O795" t="str">
        <f t="shared" si="12"/>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9">
        <f>INDEX(products!$A$1:$G$49,MATCH(orders!$D796,products!$A$1:$A$49,0),MATCH(orders!K$1,products!$A$1:$G$1,0))</f>
        <v>2.5</v>
      </c>
      <c r="L796" s="5">
        <f>INDEX(products!$A$1:$G$49,MATCH(orders!$D796,products!$A$1:$A$49,0),MATCH(orders!L$1,products!$A$1:$G$1,0))</f>
        <v>29.784999999999997</v>
      </c>
      <c r="M796">
        <f>L796*E796</f>
        <v>148.92499999999998</v>
      </c>
      <c r="N796" t="str">
        <f>IF(I796="Rob","Robusta",IF(I796="Exc","Excelsa",IF(I796="Ara","Arabica",IF(I796="Lib","Liberica",""))))</f>
        <v>Arabica</v>
      </c>
      <c r="O796" t="str">
        <f t="shared" si="12"/>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9">
        <f>INDEX(products!$A$1:$G$49,MATCH(orders!$D797,products!$A$1:$A$49,0),MATCH(orders!K$1,products!$A$1:$G$1,0))</f>
        <v>0.5</v>
      </c>
      <c r="L797" s="5">
        <f>INDEX(products!$A$1:$G$49,MATCH(orders!$D797,products!$A$1:$A$49,0),MATCH(orders!L$1,products!$A$1:$G$1,0))</f>
        <v>7.169999999999999</v>
      </c>
      <c r="M797">
        <f>L797*E797</f>
        <v>28.679999999999996</v>
      </c>
      <c r="N797" t="str">
        <f>IF(I797="Rob","Robusta",IF(I797="Exc","Excelsa",IF(I797="Ara","Arabica",IF(I797="Lib","Liberica",""))))</f>
        <v>Robusta</v>
      </c>
      <c r="O797" t="str">
        <f t="shared" si="12"/>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f>_xlfn.XLOOKUP(C798,customers!$A$1:$A$1001,customers!$C$1:$C$1001,,0)</f>
        <v>0</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9">
        <f>INDEX(products!$A$1:$G$49,MATCH(orders!$D798,products!$A$1:$A$49,0),MATCH(orders!K$1,products!$A$1:$G$1,0))</f>
        <v>0.5</v>
      </c>
      <c r="L798" s="5">
        <f>INDEX(products!$A$1:$G$49,MATCH(orders!$D798,products!$A$1:$A$49,0),MATCH(orders!L$1,products!$A$1:$G$1,0))</f>
        <v>9.51</v>
      </c>
      <c r="M798">
        <f>L798*E798</f>
        <v>9.51</v>
      </c>
      <c r="N798" t="str">
        <f>IF(I798="Rob","Robusta",IF(I798="Exc","Excelsa",IF(I798="Ara","Arabica",IF(I798="Lib","Liberica",""))))</f>
        <v>Liberica</v>
      </c>
      <c r="O798" t="str">
        <f t="shared" si="12"/>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9">
        <f>INDEX(products!$A$1:$G$49,MATCH(orders!$D799,products!$A$1:$A$49,0),MATCH(orders!K$1,products!$A$1:$G$1,0))</f>
        <v>0.5</v>
      </c>
      <c r="L799" s="5">
        <f>INDEX(products!$A$1:$G$49,MATCH(orders!$D799,products!$A$1:$A$49,0),MATCH(orders!L$1,products!$A$1:$G$1,0))</f>
        <v>7.77</v>
      </c>
      <c r="M799">
        <f>L799*E799</f>
        <v>31.08</v>
      </c>
      <c r="N799" t="str">
        <f>IF(I799="Rob","Robusta",IF(I799="Exc","Excelsa",IF(I799="Ara","Arabica",IF(I799="Lib","Liberica",""))))</f>
        <v>Arabica</v>
      </c>
      <c r="O799" t="str">
        <f t="shared" si="12"/>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9">
        <f>INDEX(products!$A$1:$G$49,MATCH(orders!$D800,products!$A$1:$A$49,0),MATCH(orders!K$1,products!$A$1:$G$1,0))</f>
        <v>0.2</v>
      </c>
      <c r="L800" s="5">
        <f>INDEX(products!$A$1:$G$49,MATCH(orders!$D800,products!$A$1:$A$49,0),MATCH(orders!L$1,products!$A$1:$G$1,0))</f>
        <v>2.6849999999999996</v>
      </c>
      <c r="M800">
        <f>L800*E800</f>
        <v>8.0549999999999997</v>
      </c>
      <c r="N800" t="str">
        <f>IF(I800="Rob","Robusta",IF(I800="Exc","Excelsa",IF(I800="Ara","Arabica",IF(I800="Lib","Liberica",""))))</f>
        <v>Robusta</v>
      </c>
      <c r="O800" t="str">
        <f t="shared" si="12"/>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f>_xlfn.XLOOKUP(C801,customers!$A$1:$A$1001,customers!$C$1:$C$1001,,0)</f>
        <v>0</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9">
        <f>INDEX(products!$A$1:$G$49,MATCH(orders!$D801,products!$A$1:$A$49,0),MATCH(orders!K$1,products!$A$1:$G$1,0))</f>
        <v>1</v>
      </c>
      <c r="L801" s="5">
        <f>INDEX(products!$A$1:$G$49,MATCH(orders!$D801,products!$A$1:$A$49,0),MATCH(orders!L$1,products!$A$1:$G$1,0))</f>
        <v>12.15</v>
      </c>
      <c r="M801">
        <f>L801*E801</f>
        <v>36.450000000000003</v>
      </c>
      <c r="N801" t="str">
        <f>IF(I801="Rob","Robusta",IF(I801="Exc","Excelsa",IF(I801="Ara","Arabica",IF(I801="Lib","Liberica",""))))</f>
        <v>Excelsa</v>
      </c>
      <c r="O801" t="str">
        <f t="shared" si="12"/>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9">
        <f>INDEX(products!$A$1:$G$49,MATCH(orders!$D802,products!$A$1:$A$49,0),MATCH(orders!K$1,products!$A$1:$G$1,0))</f>
        <v>0.2</v>
      </c>
      <c r="L802" s="5">
        <f>INDEX(products!$A$1:$G$49,MATCH(orders!$D802,products!$A$1:$A$49,0),MATCH(orders!L$1,products!$A$1:$G$1,0))</f>
        <v>2.6849999999999996</v>
      </c>
      <c r="M802">
        <f>L802*E802</f>
        <v>16.11</v>
      </c>
      <c r="N802" t="str">
        <f>IF(I802="Rob","Robusta",IF(I802="Exc","Excelsa",IF(I802="Ara","Arabica",IF(I802="Lib","Liberica",""))))</f>
        <v>Robusta</v>
      </c>
      <c r="O802" t="str">
        <f t="shared" si="12"/>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9">
        <f>INDEX(products!$A$1:$G$49,MATCH(orders!$D803,products!$A$1:$A$49,0),MATCH(orders!K$1,products!$A$1:$G$1,0))</f>
        <v>2.5</v>
      </c>
      <c r="L803" s="5">
        <f>INDEX(products!$A$1:$G$49,MATCH(orders!$D803,products!$A$1:$A$49,0),MATCH(orders!L$1,products!$A$1:$G$1,0))</f>
        <v>20.584999999999997</v>
      </c>
      <c r="M803">
        <f>L803*E803</f>
        <v>41.169999999999995</v>
      </c>
      <c r="N803" t="str">
        <f>IF(I803="Rob","Robusta",IF(I803="Exc","Excelsa",IF(I803="Ara","Arabica",IF(I803="Lib","Liberica",""))))</f>
        <v>Robusta</v>
      </c>
      <c r="O803" t="str">
        <f t="shared" si="12"/>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9">
        <f>INDEX(products!$A$1:$G$49,MATCH(orders!$D804,products!$A$1:$A$49,0),MATCH(orders!K$1,products!$A$1:$G$1,0))</f>
        <v>0.2</v>
      </c>
      <c r="L804" s="5">
        <f>INDEX(products!$A$1:$G$49,MATCH(orders!$D804,products!$A$1:$A$49,0),MATCH(orders!L$1,products!$A$1:$G$1,0))</f>
        <v>2.6849999999999996</v>
      </c>
      <c r="M804">
        <f>L804*E804</f>
        <v>10.739999999999998</v>
      </c>
      <c r="N804" t="str">
        <f>IF(I804="Rob","Robusta",IF(I804="Exc","Excelsa",IF(I804="Ara","Arabica",IF(I804="Lib","Liberica",""))))</f>
        <v>Robusta</v>
      </c>
      <c r="O804" t="str">
        <f t="shared" si="12"/>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9">
        <f>INDEX(products!$A$1:$G$49,MATCH(orders!$D805,products!$A$1:$A$49,0),MATCH(orders!K$1,products!$A$1:$G$1,0))</f>
        <v>2.5</v>
      </c>
      <c r="L805" s="5">
        <f>INDEX(products!$A$1:$G$49,MATCH(orders!$D805,products!$A$1:$A$49,0),MATCH(orders!L$1,products!$A$1:$G$1,0))</f>
        <v>31.624999999999996</v>
      </c>
      <c r="M805">
        <f>L805*E805</f>
        <v>126.49999999999999</v>
      </c>
      <c r="N805" t="str">
        <f>IF(I805="Rob","Robusta",IF(I805="Exc","Excelsa",IF(I805="Ara","Arabica",IF(I805="Lib","Liberica",""))))</f>
        <v>Excelsa</v>
      </c>
      <c r="O805" t="str">
        <f t="shared" si="12"/>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f>_xlfn.XLOOKUP(C806,customers!$A$1:$A$1001,customers!$C$1:$C$1001,,0)</f>
        <v>0</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9">
        <f>INDEX(products!$A$1:$G$49,MATCH(orders!$D806,products!$A$1:$A$49,0),MATCH(orders!K$1,products!$A$1:$G$1,0))</f>
        <v>1</v>
      </c>
      <c r="L806" s="5">
        <f>INDEX(products!$A$1:$G$49,MATCH(orders!$D806,products!$A$1:$A$49,0),MATCH(orders!L$1,products!$A$1:$G$1,0))</f>
        <v>11.95</v>
      </c>
      <c r="M806">
        <f>L806*E806</f>
        <v>23.9</v>
      </c>
      <c r="N806" t="str">
        <f>IF(I806="Rob","Robusta",IF(I806="Exc","Excelsa",IF(I806="Ara","Arabica",IF(I806="Lib","Liberica",""))))</f>
        <v>Robusta</v>
      </c>
      <c r="O806" t="str">
        <f t="shared" si="12"/>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f>_xlfn.XLOOKUP(C807,customers!$A$1:$A$1001,customers!$C$1:$C$1001,,0)</f>
        <v>0</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9">
        <f>INDEX(products!$A$1:$G$49,MATCH(orders!$D807,products!$A$1:$A$49,0),MATCH(orders!K$1,products!$A$1:$G$1,0))</f>
        <v>0.5</v>
      </c>
      <c r="L807" s="5">
        <f>INDEX(products!$A$1:$G$49,MATCH(orders!$D807,products!$A$1:$A$49,0),MATCH(orders!L$1,products!$A$1:$G$1,0))</f>
        <v>5.97</v>
      </c>
      <c r="M807">
        <f>L807*E807</f>
        <v>5.97</v>
      </c>
      <c r="N807" t="str">
        <f>IF(I807="Rob","Robusta",IF(I807="Exc","Excelsa",IF(I807="Ara","Arabica",IF(I807="Lib","Liberica",""))))</f>
        <v>Robusta</v>
      </c>
      <c r="O807" t="str">
        <f t="shared" si="12"/>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f>_xlfn.XLOOKUP(C808,customers!$A$1:$A$1001,customers!$C$1:$C$1001,,0)</f>
        <v>0</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9">
        <f>INDEX(products!$A$1:$G$49,MATCH(orders!$D808,products!$A$1:$A$49,0),MATCH(orders!K$1,products!$A$1:$G$1,0))</f>
        <v>0.2</v>
      </c>
      <c r="L808" s="5">
        <f>INDEX(products!$A$1:$G$49,MATCH(orders!$D808,products!$A$1:$A$49,0),MATCH(orders!L$1,products!$A$1:$G$1,0))</f>
        <v>3.8849999999999998</v>
      </c>
      <c r="M808">
        <f>L808*E808</f>
        <v>7.77</v>
      </c>
      <c r="N808" t="str">
        <f>IF(I808="Rob","Robusta",IF(I808="Exc","Excelsa",IF(I808="Ara","Arabica",IF(I808="Lib","Liberica",""))))</f>
        <v>Liberica</v>
      </c>
      <c r="O808" t="str">
        <f t="shared" si="12"/>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9">
        <f>INDEX(products!$A$1:$G$49,MATCH(orders!$D809,products!$A$1:$A$49,0),MATCH(orders!K$1,products!$A$1:$G$1,0))</f>
        <v>0.5</v>
      </c>
      <c r="L809" s="5">
        <f>INDEX(products!$A$1:$G$49,MATCH(orders!$D809,products!$A$1:$A$49,0),MATCH(orders!L$1,products!$A$1:$G$1,0))</f>
        <v>7.77</v>
      </c>
      <c r="M809">
        <f>L809*E809</f>
        <v>23.31</v>
      </c>
      <c r="N809" t="str">
        <f>IF(I809="Rob","Robusta",IF(I809="Exc","Excelsa",IF(I809="Ara","Arabica",IF(I809="Lib","Liberica",""))))</f>
        <v>Liberica</v>
      </c>
      <c r="O809" t="str">
        <f t="shared" si="12"/>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f>_xlfn.XLOOKUP(C810,customers!$A$1:$A$1001,customers!$C$1:$C$1001,,0)</f>
        <v>0</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9">
        <f>INDEX(products!$A$1:$G$49,MATCH(orders!$D810,products!$A$1:$A$49,0),MATCH(orders!K$1,products!$A$1:$G$1,0))</f>
        <v>2.5</v>
      </c>
      <c r="L810" s="5">
        <f>INDEX(products!$A$1:$G$49,MATCH(orders!$D810,products!$A$1:$A$49,0),MATCH(orders!L$1,products!$A$1:$G$1,0))</f>
        <v>27.484999999999996</v>
      </c>
      <c r="M810">
        <f>L810*E810</f>
        <v>137.42499999999998</v>
      </c>
      <c r="N810" t="str">
        <f>IF(I810="Rob","Robusta",IF(I810="Exc","Excelsa",IF(I810="Ara","Arabica",IF(I810="Lib","Liberica",""))))</f>
        <v>Robusta</v>
      </c>
      <c r="O810" t="str">
        <f t="shared" si="12"/>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f>_xlfn.XLOOKUP(C811,customers!$A$1:$A$1001,customers!$C$1:$C$1001,,0)</f>
        <v>0</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9">
        <f>INDEX(products!$A$1:$G$49,MATCH(orders!$D811,products!$A$1:$A$49,0),MATCH(orders!K$1,products!$A$1:$G$1,0))</f>
        <v>0.2</v>
      </c>
      <c r="L811" s="5">
        <f>INDEX(products!$A$1:$G$49,MATCH(orders!$D811,products!$A$1:$A$49,0),MATCH(orders!L$1,products!$A$1:$G$1,0))</f>
        <v>2.6849999999999996</v>
      </c>
      <c r="M811">
        <f>L811*E811</f>
        <v>8.0549999999999997</v>
      </c>
      <c r="N811" t="str">
        <f>IF(I811="Rob","Robusta",IF(I811="Exc","Excelsa",IF(I811="Ara","Arabica",IF(I811="Lib","Liberica",""))))</f>
        <v>Robusta</v>
      </c>
      <c r="O811" t="str">
        <f t="shared" si="12"/>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9">
        <f>INDEX(products!$A$1:$G$49,MATCH(orders!$D812,products!$A$1:$A$49,0),MATCH(orders!K$1,products!$A$1:$G$1,0))</f>
        <v>0.5</v>
      </c>
      <c r="L812" s="5">
        <f>INDEX(products!$A$1:$G$49,MATCH(orders!$D812,products!$A$1:$A$49,0),MATCH(orders!L$1,products!$A$1:$G$1,0))</f>
        <v>9.51</v>
      </c>
      <c r="M812">
        <f>L812*E812</f>
        <v>28.53</v>
      </c>
      <c r="N812" t="str">
        <f>IF(I812="Rob","Robusta",IF(I812="Exc","Excelsa",IF(I812="Ara","Arabica",IF(I812="Lib","Liberica",""))))</f>
        <v>Liberica</v>
      </c>
      <c r="O812" t="str">
        <f t="shared" si="12"/>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9">
        <f>INDEX(products!$A$1:$G$49,MATCH(orders!$D813,products!$A$1:$A$49,0),MATCH(orders!K$1,products!$A$1:$G$1,0))</f>
        <v>1</v>
      </c>
      <c r="L813" s="5">
        <f>INDEX(products!$A$1:$G$49,MATCH(orders!$D813,products!$A$1:$A$49,0),MATCH(orders!L$1,products!$A$1:$G$1,0))</f>
        <v>11.25</v>
      </c>
      <c r="M813">
        <f>L813*E813</f>
        <v>67.5</v>
      </c>
      <c r="N813" t="str">
        <f>IF(I813="Rob","Robusta",IF(I813="Exc","Excelsa",IF(I813="Ara","Arabica",IF(I813="Lib","Liberica",""))))</f>
        <v>Arabica</v>
      </c>
      <c r="O813" t="str">
        <f t="shared" si="12"/>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9">
        <f>INDEX(products!$A$1:$G$49,MATCH(orders!$D814,products!$A$1:$A$49,0),MATCH(orders!K$1,products!$A$1:$G$1,0))</f>
        <v>2.5</v>
      </c>
      <c r="L814" s="5">
        <f>INDEX(products!$A$1:$G$49,MATCH(orders!$D814,products!$A$1:$A$49,0),MATCH(orders!L$1,products!$A$1:$G$1,0))</f>
        <v>29.784999999999997</v>
      </c>
      <c r="M814">
        <f>L814*E814</f>
        <v>178.70999999999998</v>
      </c>
      <c r="N814" t="str">
        <f>IF(I814="Rob","Robusta",IF(I814="Exc","Excelsa",IF(I814="Ara","Arabica",IF(I814="Lib","Liberica",""))))</f>
        <v>Liberica</v>
      </c>
      <c r="O814" t="str">
        <f t="shared" si="12"/>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9">
        <f>INDEX(products!$A$1:$G$49,MATCH(orders!$D815,products!$A$1:$A$49,0),MATCH(orders!K$1,products!$A$1:$G$1,0))</f>
        <v>2.5</v>
      </c>
      <c r="L815" s="5">
        <f>INDEX(products!$A$1:$G$49,MATCH(orders!$D815,products!$A$1:$A$49,0),MATCH(orders!L$1,products!$A$1:$G$1,0))</f>
        <v>31.624999999999996</v>
      </c>
      <c r="M815">
        <f>L815*E815</f>
        <v>31.624999999999996</v>
      </c>
      <c r="N815" t="str">
        <f>IF(I815="Rob","Robusta",IF(I815="Exc","Excelsa",IF(I815="Ara","Arabica",IF(I815="Lib","Liberica",""))))</f>
        <v>Excelsa</v>
      </c>
      <c r="O815" t="str">
        <f t="shared" si="12"/>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9">
        <f>INDEX(products!$A$1:$G$49,MATCH(orders!$D816,products!$A$1:$A$49,0),MATCH(orders!K$1,products!$A$1:$G$1,0))</f>
        <v>0.2</v>
      </c>
      <c r="L816" s="5">
        <f>INDEX(products!$A$1:$G$49,MATCH(orders!$D816,products!$A$1:$A$49,0),MATCH(orders!L$1,products!$A$1:$G$1,0))</f>
        <v>4.4550000000000001</v>
      </c>
      <c r="M816">
        <f>L816*E816</f>
        <v>8.91</v>
      </c>
      <c r="N816" t="str">
        <f>IF(I816="Rob","Robusta",IF(I816="Exc","Excelsa",IF(I816="Ara","Arabica",IF(I816="Lib","Liberica",""))))</f>
        <v>Excelsa</v>
      </c>
      <c r="O816" t="str">
        <f t="shared" si="12"/>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9">
        <f>INDEX(products!$A$1:$G$49,MATCH(orders!$D817,products!$A$1:$A$49,0),MATCH(orders!K$1,products!$A$1:$G$1,0))</f>
        <v>0.5</v>
      </c>
      <c r="L817" s="5">
        <f>INDEX(products!$A$1:$G$49,MATCH(orders!$D817,products!$A$1:$A$49,0),MATCH(orders!L$1,products!$A$1:$G$1,0))</f>
        <v>5.97</v>
      </c>
      <c r="M817">
        <f>L817*E817</f>
        <v>35.82</v>
      </c>
      <c r="N817" t="str">
        <f>IF(I817="Rob","Robusta",IF(I817="Exc","Excelsa",IF(I817="Ara","Arabica",IF(I817="Lib","Liberica",""))))</f>
        <v>Robusta</v>
      </c>
      <c r="O817" t="str">
        <f t="shared" si="12"/>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9">
        <f>INDEX(products!$A$1:$G$49,MATCH(orders!$D818,products!$A$1:$A$49,0),MATCH(orders!K$1,products!$A$1:$G$1,0))</f>
        <v>0.5</v>
      </c>
      <c r="L818" s="5">
        <f>INDEX(products!$A$1:$G$49,MATCH(orders!$D818,products!$A$1:$A$49,0),MATCH(orders!L$1,products!$A$1:$G$1,0))</f>
        <v>9.51</v>
      </c>
      <c r="M818">
        <f>L818*E818</f>
        <v>38.04</v>
      </c>
      <c r="N818" t="str">
        <f>IF(I818="Rob","Robusta",IF(I818="Exc","Excelsa",IF(I818="Ara","Arabica",IF(I818="Lib","Liberica",""))))</f>
        <v>Liberica</v>
      </c>
      <c r="O818" t="str">
        <f t="shared" si="12"/>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9">
        <f>INDEX(products!$A$1:$G$49,MATCH(orders!$D819,products!$A$1:$A$49,0),MATCH(orders!K$1,products!$A$1:$G$1,0))</f>
        <v>0.5</v>
      </c>
      <c r="L819" s="5">
        <f>INDEX(products!$A$1:$G$49,MATCH(orders!$D819,products!$A$1:$A$49,0),MATCH(orders!L$1,products!$A$1:$G$1,0))</f>
        <v>7.77</v>
      </c>
      <c r="M819">
        <f>L819*E819</f>
        <v>15.54</v>
      </c>
      <c r="N819" t="str">
        <f>IF(I819="Rob","Robusta",IF(I819="Exc","Excelsa",IF(I819="Ara","Arabica",IF(I819="Lib","Liberica",""))))</f>
        <v>Liberica</v>
      </c>
      <c r="O819" t="str">
        <f t="shared" si="12"/>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f>_xlfn.XLOOKUP(C820,customers!$A$1:$A$1001,customers!$C$1:$C$1001,,0)</f>
        <v>0</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9">
        <f>INDEX(products!$A$1:$G$49,MATCH(orders!$D820,products!$A$1:$A$49,0),MATCH(orders!K$1,products!$A$1:$G$1,0))</f>
        <v>1</v>
      </c>
      <c r="L820" s="5">
        <f>INDEX(products!$A$1:$G$49,MATCH(orders!$D820,products!$A$1:$A$49,0),MATCH(orders!L$1,products!$A$1:$G$1,0))</f>
        <v>15.85</v>
      </c>
      <c r="M820">
        <f>L820*E820</f>
        <v>79.25</v>
      </c>
      <c r="N820" t="str">
        <f>IF(I820="Rob","Robusta",IF(I820="Exc","Excelsa",IF(I820="Ara","Arabica",IF(I820="Lib","Liberica",""))))</f>
        <v>Liberica</v>
      </c>
      <c r="O820" t="str">
        <f t="shared" si="12"/>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9">
        <f>INDEX(products!$A$1:$G$49,MATCH(orders!$D821,products!$A$1:$A$49,0),MATCH(orders!K$1,products!$A$1:$G$1,0))</f>
        <v>0.2</v>
      </c>
      <c r="L821" s="5">
        <f>INDEX(products!$A$1:$G$49,MATCH(orders!$D821,products!$A$1:$A$49,0),MATCH(orders!L$1,products!$A$1:$G$1,0))</f>
        <v>4.7549999999999999</v>
      </c>
      <c r="M821">
        <f>L821*E821</f>
        <v>4.7549999999999999</v>
      </c>
      <c r="N821" t="str">
        <f>IF(I821="Rob","Robusta",IF(I821="Exc","Excelsa",IF(I821="Ara","Arabica",IF(I821="Lib","Liberica",""))))</f>
        <v>Liberica</v>
      </c>
      <c r="O821" t="str">
        <f t="shared" si="12"/>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9">
        <f>INDEX(products!$A$1:$G$49,MATCH(orders!$D822,products!$A$1:$A$49,0),MATCH(orders!K$1,products!$A$1:$G$1,0))</f>
        <v>1</v>
      </c>
      <c r="L822" s="5">
        <f>INDEX(products!$A$1:$G$49,MATCH(orders!$D822,products!$A$1:$A$49,0),MATCH(orders!L$1,products!$A$1:$G$1,0))</f>
        <v>13.75</v>
      </c>
      <c r="M822">
        <f>L822*E822</f>
        <v>55</v>
      </c>
      <c r="N822" t="str">
        <f>IF(I822="Rob","Robusta",IF(I822="Exc","Excelsa",IF(I822="Ara","Arabica",IF(I822="Lib","Liberica",""))))</f>
        <v>Excelsa</v>
      </c>
      <c r="O822" t="str">
        <f t="shared" si="12"/>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9">
        <f>INDEX(products!$A$1:$G$49,MATCH(orders!$D823,products!$A$1:$A$49,0),MATCH(orders!K$1,products!$A$1:$G$1,0))</f>
        <v>0.5</v>
      </c>
      <c r="L823" s="5">
        <f>INDEX(products!$A$1:$G$49,MATCH(orders!$D823,products!$A$1:$A$49,0),MATCH(orders!L$1,products!$A$1:$G$1,0))</f>
        <v>5.3699999999999992</v>
      </c>
      <c r="M823">
        <f>L823*E823</f>
        <v>26.849999999999994</v>
      </c>
      <c r="N823" t="str">
        <f>IF(I823="Rob","Robusta",IF(I823="Exc","Excelsa",IF(I823="Ara","Arabica",IF(I823="Lib","Liberica",""))))</f>
        <v>Robusta</v>
      </c>
      <c r="O823" t="str">
        <f t="shared" si="12"/>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9">
        <f>INDEX(products!$A$1:$G$49,MATCH(orders!$D824,products!$A$1:$A$49,0),MATCH(orders!K$1,products!$A$1:$G$1,0))</f>
        <v>2.5</v>
      </c>
      <c r="L824" s="5">
        <f>INDEX(products!$A$1:$G$49,MATCH(orders!$D824,products!$A$1:$A$49,0),MATCH(orders!L$1,products!$A$1:$G$1,0))</f>
        <v>34.154999999999994</v>
      </c>
      <c r="M824">
        <f>L824*E824</f>
        <v>136.61999999999998</v>
      </c>
      <c r="N824" t="str">
        <f>IF(I824="Rob","Robusta",IF(I824="Exc","Excelsa",IF(I824="Ara","Arabica",IF(I824="Lib","Liberica",""))))</f>
        <v>Excelsa</v>
      </c>
      <c r="O824" t="str">
        <f t="shared" si="12"/>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9">
        <f>INDEX(products!$A$1:$G$49,MATCH(orders!$D825,products!$A$1:$A$49,0),MATCH(orders!K$1,products!$A$1:$G$1,0))</f>
        <v>1</v>
      </c>
      <c r="L825" s="5">
        <f>INDEX(products!$A$1:$G$49,MATCH(orders!$D825,products!$A$1:$A$49,0),MATCH(orders!L$1,products!$A$1:$G$1,0))</f>
        <v>15.85</v>
      </c>
      <c r="M825">
        <f>L825*E825</f>
        <v>47.55</v>
      </c>
      <c r="N825" t="str">
        <f>IF(I825="Rob","Robusta",IF(I825="Exc","Excelsa",IF(I825="Ara","Arabica",IF(I825="Lib","Liberica",""))))</f>
        <v>Liberica</v>
      </c>
      <c r="O825" t="str">
        <f t="shared" si="12"/>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9">
        <f>INDEX(products!$A$1:$G$49,MATCH(orders!$D826,products!$A$1:$A$49,0),MATCH(orders!K$1,products!$A$1:$G$1,0))</f>
        <v>0.2</v>
      </c>
      <c r="L826" s="5">
        <f>INDEX(products!$A$1:$G$49,MATCH(orders!$D826,products!$A$1:$A$49,0),MATCH(orders!L$1,products!$A$1:$G$1,0))</f>
        <v>3.375</v>
      </c>
      <c r="M826">
        <f>L826*E826</f>
        <v>16.875</v>
      </c>
      <c r="N826" t="str">
        <f>IF(I826="Rob","Robusta",IF(I826="Exc","Excelsa",IF(I826="Ara","Arabica",IF(I826="Lib","Liberica",""))))</f>
        <v>Arabica</v>
      </c>
      <c r="O826" t="str">
        <f t="shared" si="12"/>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9">
        <f>INDEX(products!$A$1:$G$49,MATCH(orders!$D827,products!$A$1:$A$49,0),MATCH(orders!K$1,products!$A$1:$G$1,0))</f>
        <v>1</v>
      </c>
      <c r="L827" s="5">
        <f>INDEX(products!$A$1:$G$49,MATCH(orders!$D827,products!$A$1:$A$49,0),MATCH(orders!L$1,products!$A$1:$G$1,0))</f>
        <v>9.9499999999999993</v>
      </c>
      <c r="M827">
        <f>L827*E827</f>
        <v>29.849999999999998</v>
      </c>
      <c r="N827" t="str">
        <f>IF(I827="Rob","Robusta",IF(I827="Exc","Excelsa",IF(I827="Ara","Arabica",IF(I827="Lib","Liberica",""))))</f>
        <v>Arabica</v>
      </c>
      <c r="O827" t="str">
        <f t="shared" si="12"/>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9">
        <f>INDEX(products!$A$1:$G$49,MATCH(orders!$D828,products!$A$1:$A$49,0),MATCH(orders!K$1,products!$A$1:$G$1,0))</f>
        <v>0.5</v>
      </c>
      <c r="L828" s="5">
        <f>INDEX(products!$A$1:$G$49,MATCH(orders!$D828,products!$A$1:$A$49,0),MATCH(orders!L$1,products!$A$1:$G$1,0))</f>
        <v>8.25</v>
      </c>
      <c r="M828">
        <f>L828*E828</f>
        <v>41.25</v>
      </c>
      <c r="N828" t="str">
        <f>IF(I828="Rob","Robusta",IF(I828="Exc","Excelsa",IF(I828="Ara","Arabica",IF(I828="Lib","Liberica",""))))</f>
        <v>Excelsa</v>
      </c>
      <c r="O828" t="str">
        <f t="shared" si="12"/>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9">
        <f>INDEX(products!$A$1:$G$49,MATCH(orders!$D829,products!$A$1:$A$49,0),MATCH(orders!K$1,products!$A$1:$G$1,0))</f>
        <v>0.2</v>
      </c>
      <c r="L829" s="5">
        <f>INDEX(products!$A$1:$G$49,MATCH(orders!$D829,products!$A$1:$A$49,0),MATCH(orders!L$1,products!$A$1:$G$1,0))</f>
        <v>4.125</v>
      </c>
      <c r="M829">
        <f>L829*E829</f>
        <v>20.625</v>
      </c>
      <c r="N829" t="str">
        <f>IF(I829="Rob","Robusta",IF(I829="Exc","Excelsa",IF(I829="Ara","Arabica",IF(I829="Lib","Liberica",""))))</f>
        <v>Excelsa</v>
      </c>
      <c r="O829" t="str">
        <f t="shared" si="12"/>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9">
        <f>INDEX(products!$A$1:$G$49,MATCH(orders!$D830,products!$A$1:$A$49,0),MATCH(orders!K$1,products!$A$1:$G$1,0))</f>
        <v>2.5</v>
      </c>
      <c r="L830" s="5">
        <f>INDEX(products!$A$1:$G$49,MATCH(orders!$D830,products!$A$1:$A$49,0),MATCH(orders!L$1,products!$A$1:$G$1,0))</f>
        <v>22.884999999999998</v>
      </c>
      <c r="M830">
        <f>L830*E830</f>
        <v>137.31</v>
      </c>
      <c r="N830" t="str">
        <f>IF(I830="Rob","Robusta",IF(I830="Exc","Excelsa",IF(I830="Ara","Arabica",IF(I830="Lib","Liberica",""))))</f>
        <v>Arabica</v>
      </c>
      <c r="O830" t="str">
        <f t="shared" si="12"/>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9">
        <f>INDEX(products!$A$1:$G$49,MATCH(orders!$D831,products!$A$1:$A$49,0),MATCH(orders!K$1,products!$A$1:$G$1,0))</f>
        <v>0.2</v>
      </c>
      <c r="L831" s="5">
        <f>INDEX(products!$A$1:$G$49,MATCH(orders!$D831,products!$A$1:$A$49,0),MATCH(orders!L$1,products!$A$1:$G$1,0))</f>
        <v>2.9849999999999999</v>
      </c>
      <c r="M831">
        <f>L831*E831</f>
        <v>2.9849999999999999</v>
      </c>
      <c r="N831" t="str">
        <f>IF(I831="Rob","Robusta",IF(I831="Exc","Excelsa",IF(I831="Ara","Arabica",IF(I831="Lib","Liberica",""))))</f>
        <v>Arabica</v>
      </c>
      <c r="O831" t="str">
        <f t="shared" si="12"/>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9">
        <f>INDEX(products!$A$1:$G$49,MATCH(orders!$D832,products!$A$1:$A$49,0),MATCH(orders!K$1,products!$A$1:$G$1,0))</f>
        <v>1</v>
      </c>
      <c r="L832" s="5">
        <f>INDEX(products!$A$1:$G$49,MATCH(orders!$D832,products!$A$1:$A$49,0),MATCH(orders!L$1,products!$A$1:$G$1,0))</f>
        <v>13.75</v>
      </c>
      <c r="M832">
        <f>L832*E832</f>
        <v>27.5</v>
      </c>
      <c r="N832" t="str">
        <f>IF(I832="Rob","Robusta",IF(I832="Exc","Excelsa",IF(I832="Ara","Arabica",IF(I832="Lib","Liberica",""))))</f>
        <v>Excelsa</v>
      </c>
      <c r="O832" t="str">
        <f t="shared" si="12"/>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9">
        <f>INDEX(products!$A$1:$G$49,MATCH(orders!$D833,products!$A$1:$A$49,0),MATCH(orders!K$1,products!$A$1:$G$1,0))</f>
        <v>0.2</v>
      </c>
      <c r="L833" s="5">
        <f>INDEX(products!$A$1:$G$49,MATCH(orders!$D833,products!$A$1:$A$49,0),MATCH(orders!L$1,products!$A$1:$G$1,0))</f>
        <v>2.9849999999999999</v>
      </c>
      <c r="M833">
        <f>L833*E833</f>
        <v>5.97</v>
      </c>
      <c r="N833" t="str">
        <f>IF(I833="Rob","Robusta",IF(I833="Exc","Excelsa",IF(I833="Ara","Arabica",IF(I833="Lib","Liberica",""))))</f>
        <v>Arabica</v>
      </c>
      <c r="O833" t="str">
        <f t="shared" si="12"/>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9">
        <f>INDEX(products!$A$1:$G$49,MATCH(orders!$D834,products!$A$1:$A$49,0),MATCH(orders!K$1,products!$A$1:$G$1,0))</f>
        <v>1</v>
      </c>
      <c r="L834" s="5">
        <f>INDEX(products!$A$1:$G$49,MATCH(orders!$D834,products!$A$1:$A$49,0),MATCH(orders!L$1,products!$A$1:$G$1,0))</f>
        <v>9.9499999999999993</v>
      </c>
      <c r="M834">
        <f>L834*E834</f>
        <v>59.699999999999996</v>
      </c>
      <c r="N834" t="str">
        <f>IF(I834="Rob","Robusta",IF(I834="Exc","Excelsa",IF(I834="Ara","Arabica",IF(I834="Lib","Liberica",""))))</f>
        <v>Robusta</v>
      </c>
      <c r="O834" t="str">
        <f t="shared" si="12"/>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9">
        <f>INDEX(products!$A$1:$G$49,MATCH(orders!$D835,products!$A$1:$A$49,0),MATCH(orders!K$1,products!$A$1:$G$1,0))</f>
        <v>2.5</v>
      </c>
      <c r="L835" s="5">
        <f>INDEX(products!$A$1:$G$49,MATCH(orders!$D835,products!$A$1:$A$49,0),MATCH(orders!L$1,products!$A$1:$G$1,0))</f>
        <v>20.584999999999997</v>
      </c>
      <c r="M835">
        <f>L835*E835</f>
        <v>82.339999999999989</v>
      </c>
      <c r="N835" t="str">
        <f>IF(I835="Rob","Robusta",IF(I835="Exc","Excelsa",IF(I835="Ara","Arabica",IF(I835="Lib","Liberica",""))))</f>
        <v>Robusta</v>
      </c>
      <c r="O835" t="str">
        <f t="shared" ref="O835:O898" si="13">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9">
        <f>INDEX(products!$A$1:$G$49,MATCH(orders!$D836,products!$A$1:$A$49,0),MATCH(orders!K$1,products!$A$1:$G$1,0))</f>
        <v>2.5</v>
      </c>
      <c r="L836" s="5">
        <f>INDEX(products!$A$1:$G$49,MATCH(orders!$D836,products!$A$1:$A$49,0),MATCH(orders!L$1,products!$A$1:$G$1,0))</f>
        <v>22.884999999999998</v>
      </c>
      <c r="M836">
        <f>L836*E836</f>
        <v>22.884999999999998</v>
      </c>
      <c r="N836" t="str">
        <f>IF(I836="Rob","Robusta",IF(I836="Exc","Excelsa",IF(I836="Ara","Arabica",IF(I836="Lib","Liberica",""))))</f>
        <v>Arabica</v>
      </c>
      <c r="O836" t="str">
        <f t="shared" si="13"/>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9">
        <f>INDEX(products!$A$1:$G$49,MATCH(orders!$D837,products!$A$1:$A$49,0),MATCH(orders!K$1,products!$A$1:$G$1,0))</f>
        <v>0.5</v>
      </c>
      <c r="L837" s="5">
        <f>INDEX(products!$A$1:$G$49,MATCH(orders!$D837,products!$A$1:$A$49,0),MATCH(orders!L$1,products!$A$1:$G$1,0))</f>
        <v>8.91</v>
      </c>
      <c r="M837">
        <f>L837*E837</f>
        <v>8.91</v>
      </c>
      <c r="N837" t="str">
        <f>IF(I837="Rob","Robusta",IF(I837="Exc","Excelsa",IF(I837="Ara","Arabica",IF(I837="Lib","Liberica",""))))</f>
        <v>Excelsa</v>
      </c>
      <c r="O837" t="str">
        <f t="shared" si="13"/>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9">
        <f>INDEX(products!$A$1:$G$49,MATCH(orders!$D838,products!$A$1:$A$49,0),MATCH(orders!K$1,products!$A$1:$G$1,0))</f>
        <v>0.2</v>
      </c>
      <c r="L838" s="5">
        <f>INDEX(products!$A$1:$G$49,MATCH(orders!$D838,products!$A$1:$A$49,0),MATCH(orders!L$1,products!$A$1:$G$1,0))</f>
        <v>2.9849999999999999</v>
      </c>
      <c r="M838">
        <f>L838*E838</f>
        <v>11.94</v>
      </c>
      <c r="N838" t="str">
        <f>IF(I838="Rob","Robusta",IF(I838="Exc","Excelsa",IF(I838="Ara","Arabica",IF(I838="Lib","Liberica",""))))</f>
        <v>Arabica</v>
      </c>
      <c r="O838" t="str">
        <f t="shared" si="13"/>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f>_xlfn.XLOOKUP(C839,customers!$A$1:$A$1001,customers!$C$1:$C$1001,,0)</f>
        <v>0</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9">
        <f>INDEX(products!$A$1:$G$49,MATCH(orders!$D839,products!$A$1:$A$49,0),MATCH(orders!K$1,products!$A$1:$G$1,0))</f>
        <v>2.5</v>
      </c>
      <c r="L839" s="5">
        <f>INDEX(products!$A$1:$G$49,MATCH(orders!$D839,products!$A$1:$A$49,0),MATCH(orders!L$1,products!$A$1:$G$1,0))</f>
        <v>33.464999999999996</v>
      </c>
      <c r="M839">
        <f>L839*E839</f>
        <v>100.39499999999998</v>
      </c>
      <c r="N839" t="str">
        <f>IF(I839="Rob","Robusta",IF(I839="Exc","Excelsa",IF(I839="Ara","Arabica",IF(I839="Lib","Liberica",""))))</f>
        <v>Liberica</v>
      </c>
      <c r="O839" t="str">
        <f t="shared" si="13"/>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9">
        <f>INDEX(products!$A$1:$G$49,MATCH(orders!$D840,products!$A$1:$A$49,0),MATCH(orders!K$1,products!$A$1:$G$1,0))</f>
        <v>2.5</v>
      </c>
      <c r="L840" s="5">
        <f>INDEX(products!$A$1:$G$49,MATCH(orders!$D840,products!$A$1:$A$49,0),MATCH(orders!L$1,products!$A$1:$G$1,0))</f>
        <v>22.884999999999998</v>
      </c>
      <c r="M840">
        <f>L840*E840</f>
        <v>114.42499999999998</v>
      </c>
      <c r="N840" t="str">
        <f>IF(I840="Rob","Robusta",IF(I840="Exc","Excelsa",IF(I840="Ara","Arabica",IF(I840="Lib","Liberica",""))))</f>
        <v>Arabica</v>
      </c>
      <c r="O840" t="str">
        <f t="shared" si="13"/>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9">
        <f>INDEX(products!$A$1:$G$49,MATCH(orders!$D841,products!$A$1:$A$49,0),MATCH(orders!K$1,products!$A$1:$G$1,0))</f>
        <v>0.5</v>
      </c>
      <c r="L841" s="5">
        <f>INDEX(products!$A$1:$G$49,MATCH(orders!$D841,products!$A$1:$A$49,0),MATCH(orders!L$1,products!$A$1:$G$1,0))</f>
        <v>8.25</v>
      </c>
      <c r="M841">
        <f>L841*E841</f>
        <v>41.25</v>
      </c>
      <c r="N841" t="str">
        <f>IF(I841="Rob","Robusta",IF(I841="Exc","Excelsa",IF(I841="Ara","Arabica",IF(I841="Lib","Liberica",""))))</f>
        <v>Excelsa</v>
      </c>
      <c r="O841" t="str">
        <f t="shared" si="13"/>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9">
        <f>INDEX(products!$A$1:$G$49,MATCH(orders!$D842,products!$A$1:$A$49,0),MATCH(orders!K$1,products!$A$1:$G$1,0))</f>
        <v>0.5</v>
      </c>
      <c r="L842" s="5">
        <f>INDEX(products!$A$1:$G$49,MATCH(orders!$D842,products!$A$1:$A$49,0),MATCH(orders!L$1,products!$A$1:$G$1,0))</f>
        <v>7.169999999999999</v>
      </c>
      <c r="M842">
        <f>L842*E842</f>
        <v>28.679999999999996</v>
      </c>
      <c r="N842" t="str">
        <f>IF(I842="Rob","Robusta",IF(I842="Exc","Excelsa",IF(I842="Ara","Arabica",IF(I842="Lib","Liberica",""))))</f>
        <v>Robusta</v>
      </c>
      <c r="O842" t="str">
        <f t="shared" si="13"/>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9">
        <f>INDEX(products!$A$1:$G$49,MATCH(orders!$D843,products!$A$1:$A$49,0),MATCH(orders!K$1,products!$A$1:$G$1,0))</f>
        <v>0.2</v>
      </c>
      <c r="L843" s="5">
        <f>INDEX(products!$A$1:$G$49,MATCH(orders!$D843,products!$A$1:$A$49,0),MATCH(orders!L$1,products!$A$1:$G$1,0))</f>
        <v>4.3650000000000002</v>
      </c>
      <c r="M843">
        <f>L843*E843</f>
        <v>4.3650000000000002</v>
      </c>
      <c r="N843" t="str">
        <f>IF(I843="Rob","Robusta",IF(I843="Exc","Excelsa",IF(I843="Ara","Arabica",IF(I843="Lib","Liberica",""))))</f>
        <v>Liberica</v>
      </c>
      <c r="O843" t="str">
        <f t="shared" si="13"/>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9">
        <f>INDEX(products!$A$1:$G$49,MATCH(orders!$D844,products!$A$1:$A$49,0),MATCH(orders!K$1,products!$A$1:$G$1,0))</f>
        <v>0.2</v>
      </c>
      <c r="L844" s="5">
        <f>INDEX(products!$A$1:$G$49,MATCH(orders!$D844,products!$A$1:$A$49,0),MATCH(orders!L$1,products!$A$1:$G$1,0))</f>
        <v>4.125</v>
      </c>
      <c r="M844">
        <f>L844*E844</f>
        <v>8.25</v>
      </c>
      <c r="N844" t="str">
        <f>IF(I844="Rob","Robusta",IF(I844="Exc","Excelsa",IF(I844="Ara","Arabica",IF(I844="Lib","Liberica",""))))</f>
        <v>Excelsa</v>
      </c>
      <c r="O844" t="str">
        <f t="shared" si="13"/>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9">
        <f>INDEX(products!$A$1:$G$49,MATCH(orders!$D845,products!$A$1:$A$49,0),MATCH(orders!K$1,products!$A$1:$G$1,0))</f>
        <v>0.2</v>
      </c>
      <c r="L845" s="5">
        <f>INDEX(products!$A$1:$G$49,MATCH(orders!$D845,products!$A$1:$A$49,0),MATCH(orders!L$1,products!$A$1:$G$1,0))</f>
        <v>4.125</v>
      </c>
      <c r="M845">
        <f>L845*E845</f>
        <v>8.25</v>
      </c>
      <c r="N845" t="str">
        <f>IF(I845="Rob","Robusta",IF(I845="Exc","Excelsa",IF(I845="Ara","Arabica",IF(I845="Lib","Liberica",""))))</f>
        <v>Excelsa</v>
      </c>
      <c r="O845" t="str">
        <f t="shared" si="13"/>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9">
        <f>INDEX(products!$A$1:$G$49,MATCH(orders!$D846,products!$A$1:$A$49,0),MATCH(orders!K$1,products!$A$1:$G$1,0))</f>
        <v>0.5</v>
      </c>
      <c r="L846" s="5">
        <f>INDEX(products!$A$1:$G$49,MATCH(orders!$D846,products!$A$1:$A$49,0),MATCH(orders!L$1,products!$A$1:$G$1,0))</f>
        <v>5.97</v>
      </c>
      <c r="M846">
        <f>L846*E846</f>
        <v>35.82</v>
      </c>
      <c r="N846" t="str">
        <f>IF(I846="Rob","Robusta",IF(I846="Exc","Excelsa",IF(I846="Ara","Arabica",IF(I846="Lib","Liberica",""))))</f>
        <v>Arabica</v>
      </c>
      <c r="O846" t="str">
        <f t="shared" si="13"/>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9">
        <f>INDEX(products!$A$1:$G$49,MATCH(orders!$D847,products!$A$1:$A$49,0),MATCH(orders!K$1,products!$A$1:$G$1,0))</f>
        <v>2.5</v>
      </c>
      <c r="L847" s="5">
        <f>INDEX(products!$A$1:$G$49,MATCH(orders!$D847,products!$A$1:$A$49,0),MATCH(orders!L$1,products!$A$1:$G$1,0))</f>
        <v>27.945</v>
      </c>
      <c r="M847">
        <f>L847*E847</f>
        <v>167.67000000000002</v>
      </c>
      <c r="N847" t="str">
        <f>IF(I847="Rob","Robusta",IF(I847="Exc","Excelsa",IF(I847="Ara","Arabica",IF(I847="Lib","Liberica",""))))</f>
        <v>Excelsa</v>
      </c>
      <c r="O847" t="str">
        <f t="shared" si="13"/>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f>_xlfn.XLOOKUP(C848,customers!$A$1:$A$1001,customers!$C$1:$C$1001,,0)</f>
        <v>0</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9">
        <f>INDEX(products!$A$1:$G$49,MATCH(orders!$D848,products!$A$1:$A$49,0),MATCH(orders!K$1,products!$A$1:$G$1,0))</f>
        <v>2.5</v>
      </c>
      <c r="L848" s="5">
        <f>INDEX(products!$A$1:$G$49,MATCH(orders!$D848,products!$A$1:$A$49,0),MATCH(orders!L$1,products!$A$1:$G$1,0))</f>
        <v>25.874999999999996</v>
      </c>
      <c r="M848">
        <f>L848*E848</f>
        <v>51.749999999999993</v>
      </c>
      <c r="N848" t="str">
        <f>IF(I848="Rob","Robusta",IF(I848="Exc","Excelsa",IF(I848="Ara","Arabica",IF(I848="Lib","Liberica",""))))</f>
        <v>Arabica</v>
      </c>
      <c r="O848" t="str">
        <f t="shared" si="13"/>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9">
        <f>INDEX(products!$A$1:$G$49,MATCH(orders!$D849,products!$A$1:$A$49,0),MATCH(orders!K$1,products!$A$1:$G$1,0))</f>
        <v>0.2</v>
      </c>
      <c r="L849" s="5">
        <f>INDEX(products!$A$1:$G$49,MATCH(orders!$D849,products!$A$1:$A$49,0),MATCH(orders!L$1,products!$A$1:$G$1,0))</f>
        <v>2.9849999999999999</v>
      </c>
      <c r="M849">
        <f>L849*E849</f>
        <v>8.9550000000000001</v>
      </c>
      <c r="N849" t="str">
        <f>IF(I849="Rob","Robusta",IF(I849="Exc","Excelsa",IF(I849="Ara","Arabica",IF(I849="Lib","Liberica",""))))</f>
        <v>Arabica</v>
      </c>
      <c r="O849" t="str">
        <f t="shared" si="13"/>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f>_xlfn.XLOOKUP(C850,customers!$A$1:$A$1001,customers!$C$1:$C$1001,,0)</f>
        <v>0</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9">
        <f>INDEX(products!$A$1:$G$49,MATCH(orders!$D850,products!$A$1:$A$49,0),MATCH(orders!K$1,products!$A$1:$G$1,0))</f>
        <v>0.5</v>
      </c>
      <c r="L850" s="5">
        <f>INDEX(products!$A$1:$G$49,MATCH(orders!$D850,products!$A$1:$A$49,0),MATCH(orders!L$1,products!$A$1:$G$1,0))</f>
        <v>8.91</v>
      </c>
      <c r="M850">
        <f>L850*E850</f>
        <v>53.46</v>
      </c>
      <c r="N850" t="str">
        <f>IF(I850="Rob","Robusta",IF(I850="Exc","Excelsa",IF(I850="Ara","Arabica",IF(I850="Lib","Liberica",""))))</f>
        <v>Excelsa</v>
      </c>
      <c r="O850" t="str">
        <f t="shared" si="13"/>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9">
        <f>INDEX(products!$A$1:$G$49,MATCH(orders!$D851,products!$A$1:$A$49,0),MATCH(orders!K$1,products!$A$1:$G$1,0))</f>
        <v>0.2</v>
      </c>
      <c r="L851" s="5">
        <f>INDEX(products!$A$1:$G$49,MATCH(orders!$D851,products!$A$1:$A$49,0),MATCH(orders!L$1,products!$A$1:$G$1,0))</f>
        <v>3.8849999999999998</v>
      </c>
      <c r="M851">
        <f>L851*E851</f>
        <v>23.31</v>
      </c>
      <c r="N851" t="str">
        <f>IF(I851="Rob","Robusta",IF(I851="Exc","Excelsa",IF(I851="Ara","Arabica",IF(I851="Lib","Liberica",""))))</f>
        <v>Arabica</v>
      </c>
      <c r="O851" t="str">
        <f t="shared" si="13"/>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9">
        <f>INDEX(products!$A$1:$G$49,MATCH(orders!$D852,products!$A$1:$A$49,0),MATCH(orders!K$1,products!$A$1:$G$1,0))</f>
        <v>0.2</v>
      </c>
      <c r="L852" s="5">
        <f>INDEX(products!$A$1:$G$49,MATCH(orders!$D852,products!$A$1:$A$49,0),MATCH(orders!L$1,products!$A$1:$G$1,0))</f>
        <v>3.375</v>
      </c>
      <c r="M852">
        <f>L852*E852</f>
        <v>6.75</v>
      </c>
      <c r="N852" t="str">
        <f>IF(I852="Rob","Robusta",IF(I852="Exc","Excelsa",IF(I852="Ara","Arabica",IF(I852="Lib","Liberica",""))))</f>
        <v>Arabica</v>
      </c>
      <c r="O852" t="str">
        <f t="shared" si="13"/>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9">
        <f>INDEX(products!$A$1:$G$49,MATCH(orders!$D853,products!$A$1:$A$49,0),MATCH(orders!K$1,products!$A$1:$G$1,0))</f>
        <v>0.5</v>
      </c>
      <c r="L853" s="5">
        <f>INDEX(products!$A$1:$G$49,MATCH(orders!$D853,products!$A$1:$A$49,0),MATCH(orders!L$1,products!$A$1:$G$1,0))</f>
        <v>7.77</v>
      </c>
      <c r="M853">
        <f>L853*E853</f>
        <v>7.77</v>
      </c>
      <c r="N853" t="str">
        <f>IF(I853="Rob","Robusta",IF(I853="Exc","Excelsa",IF(I853="Ara","Arabica",IF(I853="Lib","Liberica",""))))</f>
        <v>Liberica</v>
      </c>
      <c r="O853" t="str">
        <f t="shared" si="13"/>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9">
        <f>INDEX(products!$A$1:$G$49,MATCH(orders!$D854,products!$A$1:$A$49,0),MATCH(orders!K$1,products!$A$1:$G$1,0))</f>
        <v>2.5</v>
      </c>
      <c r="L854" s="5">
        <f>INDEX(products!$A$1:$G$49,MATCH(orders!$D854,products!$A$1:$A$49,0),MATCH(orders!L$1,products!$A$1:$G$1,0))</f>
        <v>29.784999999999997</v>
      </c>
      <c r="M854">
        <f>L854*E854</f>
        <v>119.13999999999999</v>
      </c>
      <c r="N854" t="str">
        <f>IF(I854="Rob","Robusta",IF(I854="Exc","Excelsa",IF(I854="Ara","Arabica",IF(I854="Lib","Liberica",""))))</f>
        <v>Liberica</v>
      </c>
      <c r="O854" t="str">
        <f t="shared" si="13"/>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9">
        <f>INDEX(products!$A$1:$G$49,MATCH(orders!$D855,products!$A$1:$A$49,0),MATCH(orders!K$1,products!$A$1:$G$1,0))</f>
        <v>1</v>
      </c>
      <c r="L855" s="5">
        <f>INDEX(products!$A$1:$G$49,MATCH(orders!$D855,products!$A$1:$A$49,0),MATCH(orders!L$1,products!$A$1:$G$1,0))</f>
        <v>9.9499999999999993</v>
      </c>
      <c r="M855">
        <f>L855*E855</f>
        <v>19.899999999999999</v>
      </c>
      <c r="N855" t="str">
        <f>IF(I855="Rob","Robusta",IF(I855="Exc","Excelsa",IF(I855="Ara","Arabica",IF(I855="Lib","Liberica",""))))</f>
        <v>Arabica</v>
      </c>
      <c r="O855" t="str">
        <f t="shared" si="13"/>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9">
        <f>INDEX(products!$A$1:$G$49,MATCH(orders!$D856,products!$A$1:$A$49,0),MATCH(orders!K$1,products!$A$1:$G$1,0))</f>
        <v>0.5</v>
      </c>
      <c r="L856" s="5">
        <f>INDEX(products!$A$1:$G$49,MATCH(orders!$D856,products!$A$1:$A$49,0),MATCH(orders!L$1,products!$A$1:$G$1,0))</f>
        <v>7.169999999999999</v>
      </c>
      <c r="M856">
        <f>L856*E856</f>
        <v>35.849999999999994</v>
      </c>
      <c r="N856" t="str">
        <f>IF(I856="Rob","Robusta",IF(I856="Exc","Excelsa",IF(I856="Ara","Arabica",IF(I856="Lib","Liberica",""))))</f>
        <v>Robusta</v>
      </c>
      <c r="O856" t="str">
        <f t="shared" si="13"/>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9">
        <f>INDEX(products!$A$1:$G$49,MATCH(orders!$D857,products!$A$1:$A$49,0),MATCH(orders!K$1,products!$A$1:$G$1,0))</f>
        <v>2.5</v>
      </c>
      <c r="L857" s="5">
        <f>INDEX(products!$A$1:$G$49,MATCH(orders!$D857,products!$A$1:$A$49,0),MATCH(orders!L$1,products!$A$1:$G$1,0))</f>
        <v>29.784999999999997</v>
      </c>
      <c r="M857">
        <f>L857*E857</f>
        <v>89.35499999999999</v>
      </c>
      <c r="N857" t="str">
        <f>IF(I857="Rob","Robusta",IF(I857="Exc","Excelsa",IF(I857="Ara","Arabica",IF(I857="Lib","Liberica",""))))</f>
        <v>Liberica</v>
      </c>
      <c r="O857" t="str">
        <f t="shared" si="13"/>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9">
        <f>INDEX(products!$A$1:$G$49,MATCH(orders!$D858,products!$A$1:$A$49,0),MATCH(orders!K$1,products!$A$1:$G$1,0))</f>
        <v>0.2</v>
      </c>
      <c r="L858" s="5">
        <f>INDEX(products!$A$1:$G$49,MATCH(orders!$D858,products!$A$1:$A$49,0),MATCH(orders!L$1,products!$A$1:$G$1,0))</f>
        <v>4.3650000000000002</v>
      </c>
      <c r="M858">
        <f>L858*E858</f>
        <v>8.73</v>
      </c>
      <c r="N858" t="str">
        <f>IF(I858="Rob","Robusta",IF(I858="Exc","Excelsa",IF(I858="Ara","Arabica",IF(I858="Lib","Liberica",""))))</f>
        <v>Liberica</v>
      </c>
      <c r="O858" t="str">
        <f t="shared" si="13"/>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9">
        <f>INDEX(products!$A$1:$G$49,MATCH(orders!$D859,products!$A$1:$A$49,0),MATCH(orders!K$1,products!$A$1:$G$1,0))</f>
        <v>2.5</v>
      </c>
      <c r="L859" s="5">
        <f>INDEX(products!$A$1:$G$49,MATCH(orders!$D859,products!$A$1:$A$49,0),MATCH(orders!L$1,products!$A$1:$G$1,0))</f>
        <v>27.484999999999996</v>
      </c>
      <c r="M859">
        <f>L859*E859</f>
        <v>137.42499999999998</v>
      </c>
      <c r="N859" t="str">
        <f>IF(I859="Rob","Robusta",IF(I859="Exc","Excelsa",IF(I859="Ara","Arabica",IF(I859="Lib","Liberica",""))))</f>
        <v>Robusta</v>
      </c>
      <c r="O859" t="str">
        <f t="shared" si="13"/>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9">
        <f>INDEX(products!$A$1:$G$49,MATCH(orders!$D860,products!$A$1:$A$49,0),MATCH(orders!K$1,products!$A$1:$G$1,0))</f>
        <v>0.5</v>
      </c>
      <c r="L860" s="5">
        <f>INDEX(products!$A$1:$G$49,MATCH(orders!$D860,products!$A$1:$A$49,0),MATCH(orders!L$1,products!$A$1:$G$1,0))</f>
        <v>8.73</v>
      </c>
      <c r="M860">
        <f>L860*E860</f>
        <v>34.92</v>
      </c>
      <c r="N860" t="str">
        <f>IF(I860="Rob","Robusta",IF(I860="Exc","Excelsa",IF(I860="Ara","Arabica",IF(I860="Lib","Liberica",""))))</f>
        <v>Liberica</v>
      </c>
      <c r="O860" t="str">
        <f t="shared" si="13"/>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9">
        <f>INDEX(products!$A$1:$G$49,MATCH(orders!$D861,products!$A$1:$A$49,0),MATCH(orders!K$1,products!$A$1:$G$1,0))</f>
        <v>2.5</v>
      </c>
      <c r="L861" s="5">
        <f>INDEX(products!$A$1:$G$49,MATCH(orders!$D861,products!$A$1:$A$49,0),MATCH(orders!L$1,products!$A$1:$G$1,0))</f>
        <v>29.784999999999997</v>
      </c>
      <c r="M861">
        <f>L861*E861</f>
        <v>178.70999999999998</v>
      </c>
      <c r="N861" t="str">
        <f>IF(I861="Rob","Robusta",IF(I861="Exc","Excelsa",IF(I861="Ara","Arabica",IF(I861="Lib","Liberica",""))))</f>
        <v>Arabica</v>
      </c>
      <c r="O861" t="str">
        <f t="shared" si="13"/>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f>_xlfn.XLOOKUP(C862,customers!$A$1:$A$1001,customers!$C$1:$C$1001,,0)</f>
        <v>0</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9">
        <f>INDEX(products!$A$1:$G$49,MATCH(orders!$D862,products!$A$1:$A$49,0),MATCH(orders!K$1,products!$A$1:$G$1,0))</f>
        <v>2.5</v>
      </c>
      <c r="L862" s="5">
        <f>INDEX(products!$A$1:$G$49,MATCH(orders!$D862,products!$A$1:$A$49,0),MATCH(orders!L$1,products!$A$1:$G$1,0))</f>
        <v>25.874999999999996</v>
      </c>
      <c r="M862">
        <f>L862*E862</f>
        <v>25.874999999999996</v>
      </c>
      <c r="N862" t="str">
        <f>IF(I862="Rob","Robusta",IF(I862="Exc","Excelsa",IF(I862="Ara","Arabica",IF(I862="Lib","Liberica",""))))</f>
        <v>Arabica</v>
      </c>
      <c r="O862" t="str">
        <f t="shared" si="13"/>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9">
        <f>INDEX(products!$A$1:$G$49,MATCH(orders!$D863,products!$A$1:$A$49,0),MATCH(orders!K$1,products!$A$1:$G$1,0))</f>
        <v>1</v>
      </c>
      <c r="L863" s="5">
        <f>INDEX(products!$A$1:$G$49,MATCH(orders!$D863,products!$A$1:$A$49,0),MATCH(orders!L$1,products!$A$1:$G$1,0))</f>
        <v>12.95</v>
      </c>
      <c r="M863">
        <f>L863*E863</f>
        <v>77.699999999999989</v>
      </c>
      <c r="N863" t="str">
        <f>IF(I863="Rob","Robusta",IF(I863="Exc","Excelsa",IF(I863="Ara","Arabica",IF(I863="Lib","Liberica",""))))</f>
        <v>Liberica</v>
      </c>
      <c r="O863" t="str">
        <f t="shared" si="13"/>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9">
        <f>INDEX(products!$A$1:$G$49,MATCH(orders!$D864,products!$A$1:$A$49,0),MATCH(orders!K$1,products!$A$1:$G$1,0))</f>
        <v>1</v>
      </c>
      <c r="L864" s="5">
        <f>INDEX(products!$A$1:$G$49,MATCH(orders!$D864,products!$A$1:$A$49,0),MATCH(orders!L$1,products!$A$1:$G$1,0))</f>
        <v>9.9499999999999993</v>
      </c>
      <c r="M864">
        <f>L864*E864</f>
        <v>9.9499999999999993</v>
      </c>
      <c r="N864" t="str">
        <f>IF(I864="Rob","Robusta",IF(I864="Exc","Excelsa",IF(I864="Ara","Arabica",IF(I864="Lib","Liberica",""))))</f>
        <v>Robusta</v>
      </c>
      <c r="O864" t="str">
        <f t="shared" si="13"/>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9">
        <f>INDEX(products!$A$1:$G$49,MATCH(orders!$D865,products!$A$1:$A$49,0),MATCH(orders!K$1,products!$A$1:$G$1,0))</f>
        <v>1</v>
      </c>
      <c r="L865" s="5">
        <f>INDEX(products!$A$1:$G$49,MATCH(orders!$D865,products!$A$1:$A$49,0),MATCH(orders!L$1,products!$A$1:$G$1,0))</f>
        <v>14.55</v>
      </c>
      <c r="M865">
        <f>L865*E865</f>
        <v>29.1</v>
      </c>
      <c r="N865" t="str">
        <f>IF(I865="Rob","Robusta",IF(I865="Exc","Excelsa",IF(I865="Ara","Arabica",IF(I865="Lib","Liberica",""))))</f>
        <v>Liberica</v>
      </c>
      <c r="O865" t="str">
        <f t="shared" si="13"/>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9">
        <f>INDEX(products!$A$1:$G$49,MATCH(orders!$D866,products!$A$1:$A$49,0),MATCH(orders!K$1,products!$A$1:$G$1,0))</f>
        <v>0.2</v>
      </c>
      <c r="L866" s="5">
        <f>INDEX(products!$A$1:$G$49,MATCH(orders!$D866,products!$A$1:$A$49,0),MATCH(orders!L$1,products!$A$1:$G$1,0))</f>
        <v>3.5849999999999995</v>
      </c>
      <c r="M866">
        <f>L866*E866</f>
        <v>21.509999999999998</v>
      </c>
      <c r="N866" t="str">
        <f>IF(I866="Rob","Robusta",IF(I866="Exc","Excelsa",IF(I866="Ara","Arabica",IF(I866="Lib","Liberica",""))))</f>
        <v>Robusta</v>
      </c>
      <c r="O866" t="str">
        <f t="shared" si="13"/>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9">
        <f>INDEX(products!$A$1:$G$49,MATCH(orders!$D867,products!$A$1:$A$49,0),MATCH(orders!K$1,products!$A$1:$G$1,0))</f>
        <v>0.5</v>
      </c>
      <c r="L867" s="5">
        <f>INDEX(products!$A$1:$G$49,MATCH(orders!$D867,products!$A$1:$A$49,0),MATCH(orders!L$1,products!$A$1:$G$1,0))</f>
        <v>6.75</v>
      </c>
      <c r="M867">
        <f>L867*E867</f>
        <v>6.75</v>
      </c>
      <c r="N867" t="str">
        <f>IF(I867="Rob","Robusta",IF(I867="Exc","Excelsa",IF(I867="Ara","Arabica",IF(I867="Lib","Liberica",""))))</f>
        <v>Arabica</v>
      </c>
      <c r="O867" t="str">
        <f t="shared" si="13"/>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9">
        <f>INDEX(products!$A$1:$G$49,MATCH(orders!$D868,products!$A$1:$A$49,0),MATCH(orders!K$1,products!$A$1:$G$1,0))</f>
        <v>0.5</v>
      </c>
      <c r="L868" s="5">
        <f>INDEX(products!$A$1:$G$49,MATCH(orders!$D868,products!$A$1:$A$49,0),MATCH(orders!L$1,products!$A$1:$G$1,0))</f>
        <v>5.97</v>
      </c>
      <c r="M868">
        <f>L868*E868</f>
        <v>17.91</v>
      </c>
      <c r="N868" t="str">
        <f>IF(I868="Rob","Robusta",IF(I868="Exc","Excelsa",IF(I868="Ara","Arabica",IF(I868="Lib","Liberica",""))))</f>
        <v>Arabica</v>
      </c>
      <c r="O868" t="str">
        <f t="shared" si="13"/>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9">
        <f>INDEX(products!$A$1:$G$49,MATCH(orders!$D869,products!$A$1:$A$49,0),MATCH(orders!K$1,products!$A$1:$G$1,0))</f>
        <v>2.5</v>
      </c>
      <c r="L869" s="5">
        <f>INDEX(products!$A$1:$G$49,MATCH(orders!$D869,products!$A$1:$A$49,0),MATCH(orders!L$1,products!$A$1:$G$1,0))</f>
        <v>29.784999999999997</v>
      </c>
      <c r="M869">
        <f>L869*E869</f>
        <v>29.784999999999997</v>
      </c>
      <c r="N869" t="str">
        <f>IF(I869="Rob","Robusta",IF(I869="Exc","Excelsa",IF(I869="Ara","Arabica",IF(I869="Lib","Liberica",""))))</f>
        <v>Arabica</v>
      </c>
      <c r="O869" t="str">
        <f t="shared" si="13"/>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9">
        <f>INDEX(products!$A$1:$G$49,MATCH(orders!$D870,products!$A$1:$A$49,0),MATCH(orders!K$1,products!$A$1:$G$1,0))</f>
        <v>0.5</v>
      </c>
      <c r="L870" s="5">
        <f>INDEX(products!$A$1:$G$49,MATCH(orders!$D870,products!$A$1:$A$49,0),MATCH(orders!L$1,products!$A$1:$G$1,0))</f>
        <v>8.25</v>
      </c>
      <c r="M870">
        <f>L870*E870</f>
        <v>41.25</v>
      </c>
      <c r="N870" t="str">
        <f>IF(I870="Rob","Robusta",IF(I870="Exc","Excelsa",IF(I870="Ara","Arabica",IF(I870="Lib","Liberica",""))))</f>
        <v>Excelsa</v>
      </c>
      <c r="O870" t="str">
        <f t="shared" si="13"/>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f>_xlfn.XLOOKUP(C871,customers!$A$1:$A$1001,customers!$C$1:$C$1001,,0)</f>
        <v>0</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9">
        <f>INDEX(products!$A$1:$G$49,MATCH(orders!$D871,products!$A$1:$A$49,0),MATCH(orders!K$1,products!$A$1:$G$1,0))</f>
        <v>0.5</v>
      </c>
      <c r="L871" s="5">
        <f>INDEX(products!$A$1:$G$49,MATCH(orders!$D871,products!$A$1:$A$49,0),MATCH(orders!L$1,products!$A$1:$G$1,0))</f>
        <v>5.97</v>
      </c>
      <c r="M871">
        <f>L871*E871</f>
        <v>17.91</v>
      </c>
      <c r="N871" t="str">
        <f>IF(I871="Rob","Robusta",IF(I871="Exc","Excelsa",IF(I871="Ara","Arabica",IF(I871="Lib","Liberica",""))))</f>
        <v>Robusta</v>
      </c>
      <c r="O871" t="str">
        <f t="shared" si="13"/>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9">
        <f>INDEX(products!$A$1:$G$49,MATCH(orders!$D872,products!$A$1:$A$49,0),MATCH(orders!K$1,products!$A$1:$G$1,0))</f>
        <v>0.5</v>
      </c>
      <c r="L872" s="5">
        <f>INDEX(products!$A$1:$G$49,MATCH(orders!$D872,products!$A$1:$A$49,0),MATCH(orders!L$1,products!$A$1:$G$1,0))</f>
        <v>7.29</v>
      </c>
      <c r="M872">
        <f>L872*E872</f>
        <v>7.29</v>
      </c>
      <c r="N872" t="str">
        <f>IF(I872="Rob","Robusta",IF(I872="Exc","Excelsa",IF(I872="Ara","Arabica",IF(I872="Lib","Liberica",""))))</f>
        <v>Excelsa</v>
      </c>
      <c r="O872" t="str">
        <f t="shared" si="13"/>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9">
        <f>INDEX(products!$A$1:$G$49,MATCH(orders!$D873,products!$A$1:$A$49,0),MATCH(orders!K$1,products!$A$1:$G$1,0))</f>
        <v>1</v>
      </c>
      <c r="L873" s="5">
        <f>INDEX(products!$A$1:$G$49,MATCH(orders!$D873,products!$A$1:$A$49,0),MATCH(orders!L$1,products!$A$1:$G$1,0))</f>
        <v>14.85</v>
      </c>
      <c r="M873">
        <f>L873*E873</f>
        <v>29.7</v>
      </c>
      <c r="N873" t="str">
        <f>IF(I873="Rob","Robusta",IF(I873="Exc","Excelsa",IF(I873="Ara","Arabica",IF(I873="Lib","Liberica",""))))</f>
        <v>Excelsa</v>
      </c>
      <c r="O873" t="str">
        <f t="shared" si="13"/>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9">
        <f>INDEX(products!$A$1:$G$49,MATCH(orders!$D874,products!$A$1:$A$49,0),MATCH(orders!K$1,products!$A$1:$G$1,0))</f>
        <v>1</v>
      </c>
      <c r="L874" s="5">
        <f>INDEX(products!$A$1:$G$49,MATCH(orders!$D874,products!$A$1:$A$49,0),MATCH(orders!L$1,products!$A$1:$G$1,0))</f>
        <v>11.25</v>
      </c>
      <c r="M874">
        <f>L874*E874</f>
        <v>22.5</v>
      </c>
      <c r="N874" t="str">
        <f>IF(I874="Rob","Robusta",IF(I874="Exc","Excelsa",IF(I874="Ara","Arabica",IF(I874="Lib","Liberica",""))))</f>
        <v>Arabica</v>
      </c>
      <c r="O874" t="str">
        <f t="shared" si="13"/>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9">
        <f>INDEX(products!$A$1:$G$49,MATCH(orders!$D875,products!$A$1:$A$49,0),MATCH(orders!K$1,products!$A$1:$G$1,0))</f>
        <v>0.2</v>
      </c>
      <c r="L875" s="5">
        <f>INDEX(products!$A$1:$G$49,MATCH(orders!$D875,products!$A$1:$A$49,0),MATCH(orders!L$1,products!$A$1:$G$1,0))</f>
        <v>2.9849999999999999</v>
      </c>
      <c r="M875">
        <f>L875*E875</f>
        <v>11.94</v>
      </c>
      <c r="N875" t="str">
        <f>IF(I875="Rob","Robusta",IF(I875="Exc","Excelsa",IF(I875="Ara","Arabica",IF(I875="Lib","Liberica",""))))</f>
        <v>Robusta</v>
      </c>
      <c r="O875" t="str">
        <f t="shared" si="13"/>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9">
        <f>INDEX(products!$A$1:$G$49,MATCH(orders!$D876,products!$A$1:$A$49,0),MATCH(orders!K$1,products!$A$1:$G$1,0))</f>
        <v>1</v>
      </c>
      <c r="L876" s="5">
        <f>INDEX(products!$A$1:$G$49,MATCH(orders!$D876,products!$A$1:$A$49,0),MATCH(orders!L$1,products!$A$1:$G$1,0))</f>
        <v>12.95</v>
      </c>
      <c r="M876">
        <f>L876*E876</f>
        <v>25.9</v>
      </c>
      <c r="N876" t="str">
        <f>IF(I876="Rob","Robusta",IF(I876="Exc","Excelsa",IF(I876="Ara","Arabica",IF(I876="Lib","Liberica",""))))</f>
        <v>Arabica</v>
      </c>
      <c r="O876" t="str">
        <f t="shared" si="13"/>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9">
        <f>INDEX(products!$A$1:$G$49,MATCH(orders!$D877,products!$A$1:$A$49,0),MATCH(orders!K$1,products!$A$1:$G$1,0))</f>
        <v>0.5</v>
      </c>
      <c r="L877" s="5">
        <f>INDEX(products!$A$1:$G$49,MATCH(orders!$D877,products!$A$1:$A$49,0),MATCH(orders!L$1,products!$A$1:$G$1,0))</f>
        <v>8.73</v>
      </c>
      <c r="M877">
        <f>L877*E877</f>
        <v>43.650000000000006</v>
      </c>
      <c r="N877" t="str">
        <f>IF(I877="Rob","Robusta",IF(I877="Exc","Excelsa",IF(I877="Ara","Arabica",IF(I877="Lib","Liberica",""))))</f>
        <v>Liberica</v>
      </c>
      <c r="O877" t="str">
        <f t="shared" si="13"/>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9">
        <f>INDEX(products!$A$1:$G$49,MATCH(orders!$D878,products!$A$1:$A$49,0),MATCH(orders!K$1,products!$A$1:$G$1,0))</f>
        <v>0.5</v>
      </c>
      <c r="L878" s="5">
        <f>INDEX(products!$A$1:$G$49,MATCH(orders!$D878,products!$A$1:$A$49,0),MATCH(orders!L$1,products!$A$1:$G$1,0))</f>
        <v>7.77</v>
      </c>
      <c r="M878">
        <f>L878*E878</f>
        <v>46.62</v>
      </c>
      <c r="N878" t="str">
        <f>IF(I878="Rob","Robusta",IF(I878="Exc","Excelsa",IF(I878="Ara","Arabica",IF(I878="Lib","Liberica",""))))</f>
        <v>Arabica</v>
      </c>
      <c r="O878" t="str">
        <f t="shared" si="13"/>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9">
        <f>INDEX(products!$A$1:$G$49,MATCH(orders!$D879,products!$A$1:$A$49,0),MATCH(orders!K$1,products!$A$1:$G$1,0))</f>
        <v>0.5</v>
      </c>
      <c r="L879" s="5">
        <f>INDEX(products!$A$1:$G$49,MATCH(orders!$D879,products!$A$1:$A$49,0),MATCH(orders!L$1,products!$A$1:$G$1,0))</f>
        <v>9.51</v>
      </c>
      <c r="M879">
        <f>L879*E879</f>
        <v>28.53</v>
      </c>
      <c r="N879" t="str">
        <f>IF(I879="Rob","Robusta",IF(I879="Exc","Excelsa",IF(I879="Ara","Arabica",IF(I879="Lib","Liberica",""))))</f>
        <v>Liberica</v>
      </c>
      <c r="O879" t="str">
        <f t="shared" si="13"/>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f>_xlfn.XLOOKUP(C880,customers!$A$1:$A$1001,customers!$C$1:$C$1001,,0)</f>
        <v>0</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9">
        <f>INDEX(products!$A$1:$G$49,MATCH(orders!$D880,products!$A$1:$A$49,0),MATCH(orders!K$1,products!$A$1:$G$1,0))</f>
        <v>2.5</v>
      </c>
      <c r="L880" s="5">
        <f>INDEX(products!$A$1:$G$49,MATCH(orders!$D880,products!$A$1:$A$49,0),MATCH(orders!L$1,products!$A$1:$G$1,0))</f>
        <v>27.484999999999996</v>
      </c>
      <c r="M880">
        <f>L880*E880</f>
        <v>27.484999999999996</v>
      </c>
      <c r="N880" t="str">
        <f>IF(I880="Rob","Robusta",IF(I880="Exc","Excelsa",IF(I880="Ara","Arabica",IF(I880="Lib","Liberica",""))))</f>
        <v>Robusta</v>
      </c>
      <c r="O880" t="str">
        <f t="shared" si="13"/>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f>_xlfn.XLOOKUP(C881,customers!$A$1:$A$1001,customers!$C$1:$C$1001,,0)</f>
        <v>0</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9">
        <f>INDEX(products!$A$1:$G$49,MATCH(orders!$D881,products!$A$1:$A$49,0),MATCH(orders!K$1,products!$A$1:$G$1,0))</f>
        <v>0.2</v>
      </c>
      <c r="L881" s="5">
        <f>INDEX(products!$A$1:$G$49,MATCH(orders!$D881,products!$A$1:$A$49,0),MATCH(orders!L$1,products!$A$1:$G$1,0))</f>
        <v>3.645</v>
      </c>
      <c r="M881">
        <f>L881*E881</f>
        <v>10.935</v>
      </c>
      <c r="N881" t="str">
        <f>IF(I881="Rob","Robusta",IF(I881="Exc","Excelsa",IF(I881="Ara","Arabica",IF(I881="Lib","Liberica",""))))</f>
        <v>Excelsa</v>
      </c>
      <c r="O881" t="str">
        <f t="shared" si="13"/>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9">
        <f>INDEX(products!$A$1:$G$49,MATCH(orders!$D882,products!$A$1:$A$49,0),MATCH(orders!K$1,products!$A$1:$G$1,0))</f>
        <v>0.2</v>
      </c>
      <c r="L882" s="5">
        <f>INDEX(products!$A$1:$G$49,MATCH(orders!$D882,products!$A$1:$A$49,0),MATCH(orders!L$1,products!$A$1:$G$1,0))</f>
        <v>3.5849999999999995</v>
      </c>
      <c r="M882">
        <f>L882*E882</f>
        <v>7.169999999999999</v>
      </c>
      <c r="N882" t="str">
        <f>IF(I882="Rob","Robusta",IF(I882="Exc","Excelsa",IF(I882="Ara","Arabica",IF(I882="Lib","Liberica",""))))</f>
        <v>Robusta</v>
      </c>
      <c r="O882" t="str">
        <f t="shared" si="13"/>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f>_xlfn.XLOOKUP(C883,customers!$A$1:$A$1001,customers!$C$1:$C$1001,,0)</f>
        <v>0</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9">
        <f>INDEX(products!$A$1:$G$49,MATCH(orders!$D883,products!$A$1:$A$49,0),MATCH(orders!K$1,products!$A$1:$G$1,0))</f>
        <v>0.2</v>
      </c>
      <c r="L883" s="5">
        <f>INDEX(products!$A$1:$G$49,MATCH(orders!$D883,products!$A$1:$A$49,0),MATCH(orders!L$1,products!$A$1:$G$1,0))</f>
        <v>3.8849999999999998</v>
      </c>
      <c r="M883">
        <f>L883*E883</f>
        <v>23.31</v>
      </c>
      <c r="N883" t="str">
        <f>IF(I883="Rob","Robusta",IF(I883="Exc","Excelsa",IF(I883="Ara","Arabica",IF(I883="Lib","Liberica",""))))</f>
        <v>Arabica</v>
      </c>
      <c r="O883" t="str">
        <f t="shared" si="13"/>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9">
        <f>INDEX(products!$A$1:$G$49,MATCH(orders!$D884,products!$A$1:$A$49,0),MATCH(orders!K$1,products!$A$1:$G$1,0))</f>
        <v>2.5</v>
      </c>
      <c r="L884" s="5">
        <f>INDEX(products!$A$1:$G$49,MATCH(orders!$D884,products!$A$1:$A$49,0),MATCH(orders!L$1,products!$A$1:$G$1,0))</f>
        <v>22.884999999999998</v>
      </c>
      <c r="M884">
        <f>L884*E884</f>
        <v>114.42499999999998</v>
      </c>
      <c r="N884" t="str">
        <f>IF(I884="Rob","Robusta",IF(I884="Exc","Excelsa",IF(I884="Ara","Arabica",IF(I884="Lib","Liberica",""))))</f>
        <v>Arabica</v>
      </c>
      <c r="O884" t="str">
        <f t="shared" si="13"/>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9">
        <f>INDEX(products!$A$1:$G$49,MATCH(orders!$D885,products!$A$1:$A$49,0),MATCH(orders!K$1,products!$A$1:$G$1,0))</f>
        <v>2.5</v>
      </c>
      <c r="L885" s="5">
        <f>INDEX(products!$A$1:$G$49,MATCH(orders!$D885,products!$A$1:$A$49,0),MATCH(orders!L$1,products!$A$1:$G$1,0))</f>
        <v>25.874999999999996</v>
      </c>
      <c r="M885">
        <f>L885*E885</f>
        <v>77.624999999999986</v>
      </c>
      <c r="N885" t="str">
        <f>IF(I885="Rob","Robusta",IF(I885="Exc","Excelsa",IF(I885="Ara","Arabica",IF(I885="Lib","Liberica",""))))</f>
        <v>Arabica</v>
      </c>
      <c r="O885" t="str">
        <f t="shared" si="13"/>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9">
        <f>INDEX(products!$A$1:$G$49,MATCH(orders!$D886,products!$A$1:$A$49,0),MATCH(orders!K$1,products!$A$1:$G$1,0))</f>
        <v>0.5</v>
      </c>
      <c r="L886" s="5">
        <f>INDEX(products!$A$1:$G$49,MATCH(orders!$D886,products!$A$1:$A$49,0),MATCH(orders!L$1,products!$A$1:$G$1,0))</f>
        <v>5.3699999999999992</v>
      </c>
      <c r="M886">
        <f>L886*E886</f>
        <v>5.3699999999999992</v>
      </c>
      <c r="N886" t="str">
        <f>IF(I886="Rob","Robusta",IF(I886="Exc","Excelsa",IF(I886="Ara","Arabica",IF(I886="Lib","Liberica",""))))</f>
        <v>Robusta</v>
      </c>
      <c r="O886" t="str">
        <f t="shared" si="13"/>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9">
        <f>INDEX(products!$A$1:$G$49,MATCH(orders!$D887,products!$A$1:$A$49,0),MATCH(orders!K$1,products!$A$1:$G$1,0))</f>
        <v>2.5</v>
      </c>
      <c r="L887" s="5">
        <f>INDEX(products!$A$1:$G$49,MATCH(orders!$D887,products!$A$1:$A$49,0),MATCH(orders!L$1,products!$A$1:$G$1,0))</f>
        <v>20.584999999999997</v>
      </c>
      <c r="M887">
        <f>L887*E887</f>
        <v>123.50999999999999</v>
      </c>
      <c r="N887" t="str">
        <f>IF(I887="Rob","Robusta",IF(I887="Exc","Excelsa",IF(I887="Ara","Arabica",IF(I887="Lib","Liberica",""))))</f>
        <v>Robusta</v>
      </c>
      <c r="O887" t="str">
        <f t="shared" si="13"/>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9">
        <f>INDEX(products!$A$1:$G$49,MATCH(orders!$D888,products!$A$1:$A$49,0),MATCH(orders!K$1,products!$A$1:$G$1,0))</f>
        <v>0.5</v>
      </c>
      <c r="L888" s="5">
        <f>INDEX(products!$A$1:$G$49,MATCH(orders!$D888,products!$A$1:$A$49,0),MATCH(orders!L$1,products!$A$1:$G$1,0))</f>
        <v>8.73</v>
      </c>
      <c r="M888">
        <f>L888*E888</f>
        <v>17.46</v>
      </c>
      <c r="N888" t="str">
        <f>IF(I888="Rob","Robusta",IF(I888="Exc","Excelsa",IF(I888="Ara","Arabica",IF(I888="Lib","Liberica",""))))</f>
        <v>Liberica</v>
      </c>
      <c r="O888" t="str">
        <f t="shared" si="13"/>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9">
        <f>INDEX(products!$A$1:$G$49,MATCH(orders!$D889,products!$A$1:$A$49,0),MATCH(orders!K$1,products!$A$1:$G$1,0))</f>
        <v>0.2</v>
      </c>
      <c r="L889" s="5">
        <f>INDEX(products!$A$1:$G$49,MATCH(orders!$D889,products!$A$1:$A$49,0),MATCH(orders!L$1,products!$A$1:$G$1,0))</f>
        <v>4.4550000000000001</v>
      </c>
      <c r="M889">
        <f>L889*E889</f>
        <v>13.365</v>
      </c>
      <c r="N889" t="str">
        <f>IF(I889="Rob","Robusta",IF(I889="Exc","Excelsa",IF(I889="Ara","Arabica",IF(I889="Lib","Liberica",""))))</f>
        <v>Excelsa</v>
      </c>
      <c r="O889" t="str">
        <f t="shared" si="13"/>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9">
        <f>INDEX(products!$A$1:$G$49,MATCH(orders!$D890,products!$A$1:$A$49,0),MATCH(orders!K$1,products!$A$1:$G$1,0))</f>
        <v>0.2</v>
      </c>
      <c r="L890" s="5">
        <f>INDEX(products!$A$1:$G$49,MATCH(orders!$D890,products!$A$1:$A$49,0),MATCH(orders!L$1,products!$A$1:$G$1,0))</f>
        <v>3.8849999999999998</v>
      </c>
      <c r="M890">
        <f>L890*E890</f>
        <v>7.77</v>
      </c>
      <c r="N890" t="str">
        <f>IF(I890="Rob","Robusta",IF(I890="Exc","Excelsa",IF(I890="Ara","Arabica",IF(I890="Lib","Liberica",""))))</f>
        <v>Arabica</v>
      </c>
      <c r="O890" t="str">
        <f t="shared" si="13"/>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9">
        <f>INDEX(products!$A$1:$G$49,MATCH(orders!$D891,products!$A$1:$A$49,0),MATCH(orders!K$1,products!$A$1:$G$1,0))</f>
        <v>0.2</v>
      </c>
      <c r="L891" s="5">
        <f>INDEX(products!$A$1:$G$49,MATCH(orders!$D891,products!$A$1:$A$49,0),MATCH(orders!L$1,products!$A$1:$G$1,0))</f>
        <v>2.6849999999999996</v>
      </c>
      <c r="M891">
        <f>L891*E891</f>
        <v>2.6849999999999996</v>
      </c>
      <c r="N891" t="str">
        <f>IF(I891="Rob","Robusta",IF(I891="Exc","Excelsa",IF(I891="Ara","Arabica",IF(I891="Lib","Liberica",""))))</f>
        <v>Robusta</v>
      </c>
      <c r="O891" t="str">
        <f t="shared" si="13"/>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9">
        <f>INDEX(products!$A$1:$G$49,MATCH(orders!$D892,products!$A$1:$A$49,0),MATCH(orders!K$1,products!$A$1:$G$1,0))</f>
        <v>2.5</v>
      </c>
      <c r="L892" s="5">
        <f>INDEX(products!$A$1:$G$49,MATCH(orders!$D892,products!$A$1:$A$49,0),MATCH(orders!L$1,products!$A$1:$G$1,0))</f>
        <v>20.584999999999997</v>
      </c>
      <c r="M892">
        <f>L892*E892</f>
        <v>20.584999999999997</v>
      </c>
      <c r="N892" t="str">
        <f>IF(I892="Rob","Robusta",IF(I892="Exc","Excelsa",IF(I892="Ara","Arabica",IF(I892="Lib","Liberica",""))))</f>
        <v>Robusta</v>
      </c>
      <c r="O892" t="str">
        <f t="shared" si="13"/>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9">
        <f>INDEX(products!$A$1:$G$49,MATCH(orders!$D893,products!$A$1:$A$49,0),MATCH(orders!K$1,products!$A$1:$G$1,0))</f>
        <v>2.5</v>
      </c>
      <c r="L893" s="5">
        <f>INDEX(products!$A$1:$G$49,MATCH(orders!$D893,products!$A$1:$A$49,0),MATCH(orders!L$1,products!$A$1:$G$1,0))</f>
        <v>22.884999999999998</v>
      </c>
      <c r="M893">
        <f>L893*E893</f>
        <v>114.42499999999998</v>
      </c>
      <c r="N893" t="str">
        <f>IF(I893="Rob","Robusta",IF(I893="Exc","Excelsa",IF(I893="Ara","Arabica",IF(I893="Lib","Liberica",""))))</f>
        <v>Arabica</v>
      </c>
      <c r="O893" t="str">
        <f t="shared" si="13"/>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9">
        <f>INDEX(products!$A$1:$G$49,MATCH(orders!$D894,products!$A$1:$A$49,0),MATCH(orders!K$1,products!$A$1:$G$1,0))</f>
        <v>0.2</v>
      </c>
      <c r="L894" s="5">
        <f>INDEX(products!$A$1:$G$49,MATCH(orders!$D894,products!$A$1:$A$49,0),MATCH(orders!L$1,products!$A$1:$G$1,0))</f>
        <v>4.125</v>
      </c>
      <c r="M894">
        <f>L894*E894</f>
        <v>20.625</v>
      </c>
      <c r="N894" t="str">
        <f>IF(I894="Rob","Robusta",IF(I894="Exc","Excelsa",IF(I894="Ara","Arabica",IF(I894="Lib","Liberica",""))))</f>
        <v>Excelsa</v>
      </c>
      <c r="O894" t="str">
        <f t="shared" si="13"/>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9">
        <f>INDEX(products!$A$1:$G$49,MATCH(orders!$D895,products!$A$1:$A$49,0),MATCH(orders!K$1,products!$A$1:$G$1,0))</f>
        <v>0.5</v>
      </c>
      <c r="L895" s="5">
        <f>INDEX(products!$A$1:$G$49,MATCH(orders!$D895,products!$A$1:$A$49,0),MATCH(orders!L$1,products!$A$1:$G$1,0))</f>
        <v>9.51</v>
      </c>
      <c r="M895">
        <f>L895*E895</f>
        <v>57.06</v>
      </c>
      <c r="N895" t="str">
        <f>IF(I895="Rob","Robusta",IF(I895="Exc","Excelsa",IF(I895="Ara","Arabica",IF(I895="Lib","Liberica",""))))</f>
        <v>Liberica</v>
      </c>
      <c r="O895" t="str">
        <f t="shared" si="13"/>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f>_xlfn.XLOOKUP(C896,customers!$A$1:$A$1001,customers!$C$1:$C$1001,,0)</f>
        <v>0</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9">
        <f>INDEX(products!$A$1:$G$49,MATCH(orders!$D896,products!$A$1:$A$49,0),MATCH(orders!K$1,products!$A$1:$G$1,0))</f>
        <v>2.5</v>
      </c>
      <c r="L896" s="5">
        <f>INDEX(products!$A$1:$G$49,MATCH(orders!$D896,products!$A$1:$A$49,0),MATCH(orders!L$1,products!$A$1:$G$1,0))</f>
        <v>20.584999999999997</v>
      </c>
      <c r="M896">
        <f>L896*E896</f>
        <v>82.339999999999989</v>
      </c>
      <c r="N896" t="str">
        <f>IF(I896="Rob","Robusta",IF(I896="Exc","Excelsa",IF(I896="Ara","Arabica",IF(I896="Lib","Liberica",""))))</f>
        <v>Robusta</v>
      </c>
      <c r="O896" t="str">
        <f t="shared" si="13"/>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f>_xlfn.XLOOKUP(C897,customers!$A$1:$A$1001,customers!$C$1:$C$1001,,0)</f>
        <v>0</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9">
        <f>INDEX(products!$A$1:$G$49,MATCH(orders!$D897,products!$A$1:$A$49,0),MATCH(orders!K$1,products!$A$1:$G$1,0))</f>
        <v>2.5</v>
      </c>
      <c r="L897" s="5">
        <f>INDEX(products!$A$1:$G$49,MATCH(orders!$D897,products!$A$1:$A$49,0),MATCH(orders!L$1,products!$A$1:$G$1,0))</f>
        <v>31.624999999999996</v>
      </c>
      <c r="M897">
        <f>L897*E897</f>
        <v>158.12499999999997</v>
      </c>
      <c r="N897" t="str">
        <f>IF(I897="Rob","Robusta",IF(I897="Exc","Excelsa",IF(I897="Ara","Arabica",IF(I897="Lib","Liberica",""))))</f>
        <v>Excelsa</v>
      </c>
      <c r="O897" t="str">
        <f t="shared" si="13"/>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9">
        <f>INDEX(products!$A$1:$G$49,MATCH(orders!$D898,products!$A$1:$A$49,0),MATCH(orders!K$1,products!$A$1:$G$1,0))</f>
        <v>0.5</v>
      </c>
      <c r="L898" s="5">
        <f>INDEX(products!$A$1:$G$49,MATCH(orders!$D898,products!$A$1:$A$49,0),MATCH(orders!L$1,products!$A$1:$G$1,0))</f>
        <v>5.3699999999999992</v>
      </c>
      <c r="M898">
        <f>L898*E898</f>
        <v>32.22</v>
      </c>
      <c r="N898" t="str">
        <f>IF(I898="Rob","Robusta",IF(I898="Exc","Excelsa",IF(I898="Ara","Arabica",IF(I898="Lib","Liberica",""))))</f>
        <v>Robusta</v>
      </c>
      <c r="O898" t="str">
        <f t="shared" si="13"/>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9">
        <f>INDEX(products!$A$1:$G$49,MATCH(orders!$D899,products!$A$1:$A$49,0),MATCH(orders!K$1,products!$A$1:$G$1,0))</f>
        <v>1</v>
      </c>
      <c r="L899" s="5">
        <f>INDEX(products!$A$1:$G$49,MATCH(orders!$D899,products!$A$1:$A$49,0),MATCH(orders!L$1,products!$A$1:$G$1,0))</f>
        <v>12.15</v>
      </c>
      <c r="M899">
        <f>L899*E899</f>
        <v>24.3</v>
      </c>
      <c r="N899" t="str">
        <f>IF(I899="Rob","Robusta",IF(I899="Exc","Excelsa",IF(I899="Ara","Arabica",IF(I899="Lib","Liberica",""))))</f>
        <v>Excelsa</v>
      </c>
      <c r="O899" t="str">
        <f t="shared" ref="O899:O962" si="1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f>_xlfn.XLOOKUP(C900,customers!$A$1:$A$1001,customers!$C$1:$C$1001,,0)</f>
        <v>0</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9">
        <f>INDEX(products!$A$1:$G$49,MATCH(orders!$D900,products!$A$1:$A$49,0),MATCH(orders!K$1,products!$A$1:$G$1,0))</f>
        <v>0.5</v>
      </c>
      <c r="L900" s="5">
        <f>INDEX(products!$A$1:$G$49,MATCH(orders!$D900,products!$A$1:$A$49,0),MATCH(orders!L$1,products!$A$1:$G$1,0))</f>
        <v>7.169999999999999</v>
      </c>
      <c r="M900">
        <f>L900*E900</f>
        <v>35.849999999999994</v>
      </c>
      <c r="N900" t="str">
        <f>IF(I900="Rob","Robusta",IF(I900="Exc","Excelsa",IF(I900="Ara","Arabica",IF(I900="Lib","Liberica",""))))</f>
        <v>Robusta</v>
      </c>
      <c r="O900" t="str">
        <f t="shared" si="1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f>_xlfn.XLOOKUP(C901,customers!$A$1:$A$1001,customers!$C$1:$C$1001,,0)</f>
        <v>0</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9">
        <f>INDEX(products!$A$1:$G$49,MATCH(orders!$D901,products!$A$1:$A$49,0),MATCH(orders!K$1,products!$A$1:$G$1,0))</f>
        <v>1</v>
      </c>
      <c r="L901" s="5">
        <f>INDEX(products!$A$1:$G$49,MATCH(orders!$D901,products!$A$1:$A$49,0),MATCH(orders!L$1,products!$A$1:$G$1,0))</f>
        <v>14.55</v>
      </c>
      <c r="M901">
        <f>L901*E901</f>
        <v>72.75</v>
      </c>
      <c r="N901" t="str">
        <f>IF(I901="Rob","Robusta",IF(I901="Exc","Excelsa",IF(I901="Ara","Arabica",IF(I901="Lib","Liberica",""))))</f>
        <v>Liberica</v>
      </c>
      <c r="O901" t="str">
        <f t="shared" si="1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f>_xlfn.XLOOKUP(C902,customers!$A$1:$A$1001,customers!$C$1:$C$1001,,0)</f>
        <v>0</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9">
        <f>INDEX(products!$A$1:$G$49,MATCH(orders!$D902,products!$A$1:$A$49,0),MATCH(orders!K$1,products!$A$1:$G$1,0))</f>
        <v>1</v>
      </c>
      <c r="L902" s="5">
        <f>INDEX(products!$A$1:$G$49,MATCH(orders!$D902,products!$A$1:$A$49,0),MATCH(orders!L$1,products!$A$1:$G$1,0))</f>
        <v>15.85</v>
      </c>
      <c r="M902">
        <f>L902*E902</f>
        <v>47.55</v>
      </c>
      <c r="N902" t="str">
        <f>IF(I902="Rob","Robusta",IF(I902="Exc","Excelsa",IF(I902="Ara","Arabica",IF(I902="Lib","Liberica",""))))</f>
        <v>Liberica</v>
      </c>
      <c r="O902" t="str">
        <f t="shared" si="1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9">
        <f>INDEX(products!$A$1:$G$49,MATCH(orders!$D903,products!$A$1:$A$49,0),MATCH(orders!K$1,products!$A$1:$G$1,0))</f>
        <v>0.2</v>
      </c>
      <c r="L903" s="5">
        <f>INDEX(products!$A$1:$G$49,MATCH(orders!$D903,products!$A$1:$A$49,0),MATCH(orders!L$1,products!$A$1:$G$1,0))</f>
        <v>3.5849999999999995</v>
      </c>
      <c r="M903">
        <f>L903*E903</f>
        <v>3.5849999999999995</v>
      </c>
      <c r="N903" t="str">
        <f>IF(I903="Rob","Robusta",IF(I903="Exc","Excelsa",IF(I903="Ara","Arabica",IF(I903="Lib","Liberica",""))))</f>
        <v>Robusta</v>
      </c>
      <c r="O903" t="str">
        <f t="shared" si="1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9">
        <f>INDEX(products!$A$1:$G$49,MATCH(orders!$D904,products!$A$1:$A$49,0),MATCH(orders!K$1,products!$A$1:$G$1,0))</f>
        <v>2.5</v>
      </c>
      <c r="L904" s="5">
        <f>INDEX(products!$A$1:$G$49,MATCH(orders!$D904,products!$A$1:$A$49,0),MATCH(orders!L$1,products!$A$1:$G$1,0))</f>
        <v>31.624999999999996</v>
      </c>
      <c r="M904">
        <f>L904*E904</f>
        <v>158.12499999999997</v>
      </c>
      <c r="N904" t="str">
        <f>IF(I904="Rob","Robusta",IF(I904="Exc","Excelsa",IF(I904="Ara","Arabica",IF(I904="Lib","Liberica",""))))</f>
        <v>Excelsa</v>
      </c>
      <c r="O904" t="str">
        <f t="shared" si="1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9">
        <f>INDEX(products!$A$1:$G$49,MATCH(orders!$D905,products!$A$1:$A$49,0),MATCH(orders!K$1,products!$A$1:$G$1,0))</f>
        <v>0.5</v>
      </c>
      <c r="L905" s="5">
        <f>INDEX(products!$A$1:$G$49,MATCH(orders!$D905,products!$A$1:$A$49,0),MATCH(orders!L$1,products!$A$1:$G$1,0))</f>
        <v>8.73</v>
      </c>
      <c r="M905">
        <f>L905*E905</f>
        <v>17.46</v>
      </c>
      <c r="N905" t="str">
        <f>IF(I905="Rob","Robusta",IF(I905="Exc","Excelsa",IF(I905="Ara","Arabica",IF(I905="Lib","Liberica",""))))</f>
        <v>Liberica</v>
      </c>
      <c r="O905" t="str">
        <f t="shared" si="1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9">
        <f>INDEX(products!$A$1:$G$49,MATCH(orders!$D906,products!$A$1:$A$49,0),MATCH(orders!K$1,products!$A$1:$G$1,0))</f>
        <v>2.5</v>
      </c>
      <c r="L906" s="5">
        <f>INDEX(products!$A$1:$G$49,MATCH(orders!$D906,products!$A$1:$A$49,0),MATCH(orders!L$1,products!$A$1:$G$1,0))</f>
        <v>29.784999999999997</v>
      </c>
      <c r="M906">
        <f>L906*E906</f>
        <v>148.92499999999998</v>
      </c>
      <c r="N906" t="str">
        <f>IF(I906="Rob","Robusta",IF(I906="Exc","Excelsa",IF(I906="Ara","Arabica",IF(I906="Lib","Liberica",""))))</f>
        <v>Arabica</v>
      </c>
      <c r="O906" t="str">
        <f t="shared" si="1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f>_xlfn.XLOOKUP(C907,customers!$A$1:$A$1001,customers!$C$1:$C$1001,,0)</f>
        <v>0</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9">
        <f>INDEX(products!$A$1:$G$49,MATCH(orders!$D907,products!$A$1:$A$49,0),MATCH(orders!K$1,products!$A$1:$G$1,0))</f>
        <v>0.5</v>
      </c>
      <c r="L907" s="5">
        <f>INDEX(products!$A$1:$G$49,MATCH(orders!$D907,products!$A$1:$A$49,0),MATCH(orders!L$1,products!$A$1:$G$1,0))</f>
        <v>6.75</v>
      </c>
      <c r="M907">
        <f>L907*E907</f>
        <v>40.5</v>
      </c>
      <c r="N907" t="str">
        <f>IF(I907="Rob","Robusta",IF(I907="Exc","Excelsa",IF(I907="Ara","Arabica",IF(I907="Lib","Liberica",""))))</f>
        <v>Arabica</v>
      </c>
      <c r="O907" t="str">
        <f t="shared" si="1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9">
        <f>INDEX(products!$A$1:$G$49,MATCH(orders!$D908,products!$A$1:$A$49,0),MATCH(orders!K$1,products!$A$1:$G$1,0))</f>
        <v>0.5</v>
      </c>
      <c r="L908" s="5">
        <f>INDEX(products!$A$1:$G$49,MATCH(orders!$D908,products!$A$1:$A$49,0),MATCH(orders!L$1,products!$A$1:$G$1,0))</f>
        <v>6.75</v>
      </c>
      <c r="M908">
        <f>L908*E908</f>
        <v>27</v>
      </c>
      <c r="N908" t="str">
        <f>IF(I908="Rob","Robusta",IF(I908="Exc","Excelsa",IF(I908="Ara","Arabica",IF(I908="Lib","Liberica",""))))</f>
        <v>Arabica</v>
      </c>
      <c r="O908" t="str">
        <f t="shared" si="1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9">
        <f>INDEX(products!$A$1:$G$49,MATCH(orders!$D909,products!$A$1:$A$49,0),MATCH(orders!K$1,products!$A$1:$G$1,0))</f>
        <v>1</v>
      </c>
      <c r="L909" s="5">
        <f>INDEX(products!$A$1:$G$49,MATCH(orders!$D909,products!$A$1:$A$49,0),MATCH(orders!L$1,products!$A$1:$G$1,0))</f>
        <v>12.95</v>
      </c>
      <c r="M909">
        <f>L909*E909</f>
        <v>38.849999999999994</v>
      </c>
      <c r="N909" t="str">
        <f>IF(I909="Rob","Robusta",IF(I909="Exc","Excelsa",IF(I909="Ara","Arabica",IF(I909="Lib","Liberica",""))))</f>
        <v>Liberica</v>
      </c>
      <c r="O909" t="str">
        <f t="shared" si="1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9">
        <f>INDEX(products!$A$1:$G$49,MATCH(orders!$D910,products!$A$1:$A$49,0),MATCH(orders!K$1,products!$A$1:$G$1,0))</f>
        <v>1</v>
      </c>
      <c r="L910" s="5">
        <f>INDEX(products!$A$1:$G$49,MATCH(orders!$D910,products!$A$1:$A$49,0),MATCH(orders!L$1,products!$A$1:$G$1,0))</f>
        <v>11.95</v>
      </c>
      <c r="M910">
        <f>L910*E910</f>
        <v>59.75</v>
      </c>
      <c r="N910" t="str">
        <f>IF(I910="Rob","Robusta",IF(I910="Exc","Excelsa",IF(I910="Ara","Arabica",IF(I910="Lib","Liberica",""))))</f>
        <v>Robusta</v>
      </c>
      <c r="O910" t="str">
        <f t="shared" si="1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f>_xlfn.XLOOKUP(C911,customers!$A$1:$A$1001,customers!$C$1:$C$1001,,0)</f>
        <v>0</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9">
        <f>INDEX(products!$A$1:$G$49,MATCH(orders!$D911,products!$A$1:$A$49,0),MATCH(orders!K$1,products!$A$1:$G$1,0))</f>
        <v>0.2</v>
      </c>
      <c r="L911" s="5">
        <f>INDEX(products!$A$1:$G$49,MATCH(orders!$D911,products!$A$1:$A$49,0),MATCH(orders!L$1,products!$A$1:$G$1,0))</f>
        <v>3.5849999999999995</v>
      </c>
      <c r="M911">
        <f>L911*E911</f>
        <v>10.754999999999999</v>
      </c>
      <c r="N911" t="str">
        <f>IF(I911="Rob","Robusta",IF(I911="Exc","Excelsa",IF(I911="Ara","Arabica",IF(I911="Lib","Liberica",""))))</f>
        <v>Robusta</v>
      </c>
      <c r="O911" t="str">
        <f t="shared" si="1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9">
        <f>INDEX(products!$A$1:$G$49,MATCH(orders!$D912,products!$A$1:$A$49,0),MATCH(orders!K$1,products!$A$1:$G$1,0))</f>
        <v>2.5</v>
      </c>
      <c r="L912" s="5">
        <f>INDEX(products!$A$1:$G$49,MATCH(orders!$D912,products!$A$1:$A$49,0),MATCH(orders!L$1,products!$A$1:$G$1,0))</f>
        <v>22.884999999999998</v>
      </c>
      <c r="M912">
        <f>L912*E912</f>
        <v>91.539999999999992</v>
      </c>
      <c r="N912" t="str">
        <f>IF(I912="Rob","Robusta",IF(I912="Exc","Excelsa",IF(I912="Ara","Arabica",IF(I912="Lib","Liberica",""))))</f>
        <v>Arabica</v>
      </c>
      <c r="O912" t="str">
        <f t="shared" si="1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9">
        <f>INDEX(products!$A$1:$G$49,MATCH(orders!$D913,products!$A$1:$A$49,0),MATCH(orders!K$1,products!$A$1:$G$1,0))</f>
        <v>1</v>
      </c>
      <c r="L913" s="5">
        <f>INDEX(products!$A$1:$G$49,MATCH(orders!$D913,products!$A$1:$A$49,0),MATCH(orders!L$1,products!$A$1:$G$1,0))</f>
        <v>11.25</v>
      </c>
      <c r="M913">
        <f>L913*E913</f>
        <v>45</v>
      </c>
      <c r="N913" t="str">
        <f>IF(I913="Rob","Robusta",IF(I913="Exc","Excelsa",IF(I913="Ara","Arabica",IF(I913="Lib","Liberica",""))))</f>
        <v>Arabica</v>
      </c>
      <c r="O913" t="str">
        <f t="shared" si="1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f>_xlfn.XLOOKUP(C914,customers!$A$1:$A$1001,customers!$C$1:$C$1001,,0)</f>
        <v>0</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9">
        <f>INDEX(products!$A$1:$G$49,MATCH(orders!$D914,products!$A$1:$A$49,0),MATCH(orders!K$1,products!$A$1:$G$1,0))</f>
        <v>2.5</v>
      </c>
      <c r="L914" s="5">
        <f>INDEX(products!$A$1:$G$49,MATCH(orders!$D914,products!$A$1:$A$49,0),MATCH(orders!L$1,products!$A$1:$G$1,0))</f>
        <v>22.884999999999998</v>
      </c>
      <c r="M914">
        <f>L914*E914</f>
        <v>137.31</v>
      </c>
      <c r="N914" t="str">
        <f>IF(I914="Rob","Robusta",IF(I914="Exc","Excelsa",IF(I914="Ara","Arabica",IF(I914="Lib","Liberica",""))))</f>
        <v>Robusta</v>
      </c>
      <c r="O914" t="str">
        <f t="shared" si="1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9">
        <f>INDEX(products!$A$1:$G$49,MATCH(orders!$D915,products!$A$1:$A$49,0),MATCH(orders!K$1,products!$A$1:$G$1,0))</f>
        <v>0.5</v>
      </c>
      <c r="L915" s="5">
        <f>INDEX(products!$A$1:$G$49,MATCH(orders!$D915,products!$A$1:$A$49,0),MATCH(orders!L$1,products!$A$1:$G$1,0))</f>
        <v>6.75</v>
      </c>
      <c r="M915">
        <f>L915*E915</f>
        <v>6.75</v>
      </c>
      <c r="N915" t="str">
        <f>IF(I915="Rob","Robusta",IF(I915="Exc","Excelsa",IF(I915="Ara","Arabica",IF(I915="Lib","Liberica",""))))</f>
        <v>Arabica</v>
      </c>
      <c r="O915" t="str">
        <f t="shared" si="1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9">
        <f>INDEX(products!$A$1:$G$49,MATCH(orders!$D916,products!$A$1:$A$49,0),MATCH(orders!K$1,products!$A$1:$G$1,0))</f>
        <v>1</v>
      </c>
      <c r="L916" s="5">
        <f>INDEX(products!$A$1:$G$49,MATCH(orders!$D916,products!$A$1:$A$49,0),MATCH(orders!L$1,products!$A$1:$G$1,0))</f>
        <v>11.25</v>
      </c>
      <c r="M916">
        <f>L916*E916</f>
        <v>45</v>
      </c>
      <c r="N916" t="str">
        <f>IF(I916="Rob","Robusta",IF(I916="Exc","Excelsa",IF(I916="Ara","Arabica",IF(I916="Lib","Liberica",""))))</f>
        <v>Arabica</v>
      </c>
      <c r="O916" t="str">
        <f t="shared" si="1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9">
        <f>INDEX(products!$A$1:$G$49,MATCH(orders!$D917,products!$A$1:$A$49,0),MATCH(orders!K$1,products!$A$1:$G$1,0))</f>
        <v>2.5</v>
      </c>
      <c r="L917" s="5">
        <f>INDEX(products!$A$1:$G$49,MATCH(orders!$D917,products!$A$1:$A$49,0),MATCH(orders!L$1,products!$A$1:$G$1,0))</f>
        <v>27.945</v>
      </c>
      <c r="M917">
        <f>L917*E917</f>
        <v>83.835000000000008</v>
      </c>
      <c r="N917" t="str">
        <f>IF(I917="Rob","Robusta",IF(I917="Exc","Excelsa",IF(I917="Ara","Arabica",IF(I917="Lib","Liberica",""))))</f>
        <v>Excelsa</v>
      </c>
      <c r="O917" t="str">
        <f t="shared" si="1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f>_xlfn.XLOOKUP(C918,customers!$A$1:$A$1001,customers!$C$1:$C$1001,,0)</f>
        <v>0</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9">
        <f>INDEX(products!$A$1:$G$49,MATCH(orders!$D918,products!$A$1:$A$49,0),MATCH(orders!K$1,products!$A$1:$G$1,0))</f>
        <v>0.2</v>
      </c>
      <c r="L918" s="5">
        <f>INDEX(products!$A$1:$G$49,MATCH(orders!$D918,products!$A$1:$A$49,0),MATCH(orders!L$1,products!$A$1:$G$1,0))</f>
        <v>3.645</v>
      </c>
      <c r="M918">
        <f>L918*E918</f>
        <v>3.645</v>
      </c>
      <c r="N918" t="str">
        <f>IF(I918="Rob","Robusta",IF(I918="Exc","Excelsa",IF(I918="Ara","Arabica",IF(I918="Lib","Liberica",""))))</f>
        <v>Excelsa</v>
      </c>
      <c r="O918" t="str">
        <f t="shared" si="1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9">
        <f>INDEX(products!$A$1:$G$49,MATCH(orders!$D919,products!$A$1:$A$49,0),MATCH(orders!K$1,products!$A$1:$G$1,0))</f>
        <v>0.5</v>
      </c>
      <c r="L919" s="5">
        <f>INDEX(products!$A$1:$G$49,MATCH(orders!$D919,products!$A$1:$A$49,0),MATCH(orders!L$1,products!$A$1:$G$1,0))</f>
        <v>6.75</v>
      </c>
      <c r="M919">
        <f>L919*E919</f>
        <v>6.75</v>
      </c>
      <c r="N919" t="str">
        <f>IF(I919="Rob","Robusta",IF(I919="Exc","Excelsa",IF(I919="Ara","Arabica",IF(I919="Lib","Liberica",""))))</f>
        <v>Arabica</v>
      </c>
      <c r="O919" t="str">
        <f t="shared" si="1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9">
        <f>INDEX(products!$A$1:$G$49,MATCH(orders!$D920,products!$A$1:$A$49,0),MATCH(orders!K$1,products!$A$1:$G$1,0))</f>
        <v>0.5</v>
      </c>
      <c r="L920" s="5">
        <f>INDEX(products!$A$1:$G$49,MATCH(orders!$D920,products!$A$1:$A$49,0),MATCH(orders!L$1,products!$A$1:$G$1,0))</f>
        <v>7.29</v>
      </c>
      <c r="M920">
        <f>L920*E920</f>
        <v>21.87</v>
      </c>
      <c r="N920" t="str">
        <f>IF(I920="Rob","Robusta",IF(I920="Exc","Excelsa",IF(I920="Ara","Arabica",IF(I920="Lib","Liberica",""))))</f>
        <v>Excelsa</v>
      </c>
      <c r="O920" t="str">
        <f t="shared" si="1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9">
        <f>INDEX(products!$A$1:$G$49,MATCH(orders!$D921,products!$A$1:$A$49,0),MATCH(orders!K$1,products!$A$1:$G$1,0))</f>
        <v>0.2</v>
      </c>
      <c r="L921" s="5">
        <f>INDEX(products!$A$1:$G$49,MATCH(orders!$D921,products!$A$1:$A$49,0),MATCH(orders!L$1,products!$A$1:$G$1,0))</f>
        <v>2.6849999999999996</v>
      </c>
      <c r="M921">
        <f>L921*E921</f>
        <v>13.424999999999997</v>
      </c>
      <c r="N921" t="str">
        <f>IF(I921="Rob","Robusta",IF(I921="Exc","Excelsa",IF(I921="Ara","Arabica",IF(I921="Lib","Liberica",""))))</f>
        <v>Robusta</v>
      </c>
      <c r="O921" t="str">
        <f t="shared" si="1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9">
        <f>INDEX(products!$A$1:$G$49,MATCH(orders!$D922,products!$A$1:$A$49,0),MATCH(orders!K$1,products!$A$1:$G$1,0))</f>
        <v>2.5</v>
      </c>
      <c r="L922" s="5">
        <f>INDEX(products!$A$1:$G$49,MATCH(orders!$D922,products!$A$1:$A$49,0),MATCH(orders!L$1,products!$A$1:$G$1,0))</f>
        <v>20.584999999999997</v>
      </c>
      <c r="M922">
        <f>L922*E922</f>
        <v>123.50999999999999</v>
      </c>
      <c r="N922" t="str">
        <f>IF(I922="Rob","Robusta",IF(I922="Exc","Excelsa",IF(I922="Ara","Arabica",IF(I922="Lib","Liberica",""))))</f>
        <v>Robusta</v>
      </c>
      <c r="O922" t="str">
        <f t="shared" si="1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9">
        <f>INDEX(products!$A$1:$G$49,MATCH(orders!$D923,products!$A$1:$A$49,0),MATCH(orders!K$1,products!$A$1:$G$1,0))</f>
        <v>0.2</v>
      </c>
      <c r="L923" s="5">
        <f>INDEX(products!$A$1:$G$49,MATCH(orders!$D923,products!$A$1:$A$49,0),MATCH(orders!L$1,products!$A$1:$G$1,0))</f>
        <v>3.8849999999999998</v>
      </c>
      <c r="M923">
        <f>L923*E923</f>
        <v>7.77</v>
      </c>
      <c r="N923" t="str">
        <f>IF(I923="Rob","Robusta",IF(I923="Exc","Excelsa",IF(I923="Ara","Arabica",IF(I923="Lib","Liberica",""))))</f>
        <v>Liberica</v>
      </c>
      <c r="O923" t="str">
        <f t="shared" si="1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f>_xlfn.XLOOKUP(C924,customers!$A$1:$A$1001,customers!$C$1:$C$1001,,0)</f>
        <v>0</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9">
        <f>INDEX(products!$A$1:$G$49,MATCH(orders!$D924,products!$A$1:$A$49,0),MATCH(orders!K$1,products!$A$1:$G$1,0))</f>
        <v>1</v>
      </c>
      <c r="L924" s="5">
        <f>INDEX(products!$A$1:$G$49,MATCH(orders!$D924,products!$A$1:$A$49,0),MATCH(orders!L$1,products!$A$1:$G$1,0))</f>
        <v>11.25</v>
      </c>
      <c r="M924">
        <f>L924*E924</f>
        <v>67.5</v>
      </c>
      <c r="N924" t="str">
        <f>IF(I924="Rob","Robusta",IF(I924="Exc","Excelsa",IF(I924="Ara","Arabica",IF(I924="Lib","Liberica",""))))</f>
        <v>Arabica</v>
      </c>
      <c r="O924" t="str">
        <f t="shared" si="1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9">
        <f>INDEX(products!$A$1:$G$49,MATCH(orders!$D925,products!$A$1:$A$49,0),MATCH(orders!K$1,products!$A$1:$G$1,0))</f>
        <v>2.5</v>
      </c>
      <c r="L925" s="5">
        <f>INDEX(products!$A$1:$G$49,MATCH(orders!$D925,products!$A$1:$A$49,0),MATCH(orders!L$1,products!$A$1:$G$1,0))</f>
        <v>27.945</v>
      </c>
      <c r="M925">
        <f>L925*E925</f>
        <v>27.945</v>
      </c>
      <c r="N925" t="str">
        <f>IF(I925="Rob","Robusta",IF(I925="Exc","Excelsa",IF(I925="Ara","Arabica",IF(I925="Lib","Liberica",""))))</f>
        <v>Excelsa</v>
      </c>
      <c r="O925" t="str">
        <f t="shared" si="1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9">
        <f>INDEX(products!$A$1:$G$49,MATCH(orders!$D926,products!$A$1:$A$49,0),MATCH(orders!K$1,products!$A$1:$G$1,0))</f>
        <v>2.5</v>
      </c>
      <c r="L926" s="5">
        <f>INDEX(products!$A$1:$G$49,MATCH(orders!$D926,products!$A$1:$A$49,0),MATCH(orders!L$1,products!$A$1:$G$1,0))</f>
        <v>29.784999999999997</v>
      </c>
      <c r="M926">
        <f>L926*E926</f>
        <v>89.35499999999999</v>
      </c>
      <c r="N926" t="str">
        <f>IF(I926="Rob","Robusta",IF(I926="Exc","Excelsa",IF(I926="Ara","Arabica",IF(I926="Lib","Liberica",""))))</f>
        <v>Arabica</v>
      </c>
      <c r="O926" t="str">
        <f t="shared" si="1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f>_xlfn.XLOOKUP(C927,customers!$A$1:$A$1001,customers!$C$1:$C$1001,,0)</f>
        <v>0</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9">
        <f>INDEX(products!$A$1:$G$49,MATCH(orders!$D927,products!$A$1:$A$49,0),MATCH(orders!K$1,products!$A$1:$G$1,0))</f>
        <v>0.5</v>
      </c>
      <c r="L927" s="5">
        <f>INDEX(products!$A$1:$G$49,MATCH(orders!$D927,products!$A$1:$A$49,0),MATCH(orders!L$1,products!$A$1:$G$1,0))</f>
        <v>6.75</v>
      </c>
      <c r="M927">
        <f>L927*E927</f>
        <v>20.25</v>
      </c>
      <c r="N927" t="str">
        <f>IF(I927="Rob","Robusta",IF(I927="Exc","Excelsa",IF(I927="Ara","Arabica",IF(I927="Lib","Liberica",""))))</f>
        <v>Arabica</v>
      </c>
      <c r="O927" t="str">
        <f t="shared" si="1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9">
        <f>INDEX(products!$A$1:$G$49,MATCH(orders!$D928,products!$A$1:$A$49,0),MATCH(orders!K$1,products!$A$1:$G$1,0))</f>
        <v>0.5</v>
      </c>
      <c r="L928" s="5">
        <f>INDEX(products!$A$1:$G$49,MATCH(orders!$D928,products!$A$1:$A$49,0),MATCH(orders!L$1,products!$A$1:$G$1,0))</f>
        <v>6.75</v>
      </c>
      <c r="M928">
        <f>L928*E928</f>
        <v>33.75</v>
      </c>
      <c r="N928" t="str">
        <f>IF(I928="Rob","Robusta",IF(I928="Exc","Excelsa",IF(I928="Ara","Arabica",IF(I928="Lib","Liberica",""))))</f>
        <v>Arabica</v>
      </c>
      <c r="O928" t="str">
        <f t="shared" si="1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9">
        <f>INDEX(products!$A$1:$G$49,MATCH(orders!$D929,products!$A$1:$A$49,0),MATCH(orders!K$1,products!$A$1:$G$1,0))</f>
        <v>2.5</v>
      </c>
      <c r="L929" s="5">
        <f>INDEX(products!$A$1:$G$49,MATCH(orders!$D929,products!$A$1:$A$49,0),MATCH(orders!L$1,products!$A$1:$G$1,0))</f>
        <v>27.945</v>
      </c>
      <c r="M929">
        <f>L929*E929</f>
        <v>111.78</v>
      </c>
      <c r="N929" t="str">
        <f>IF(I929="Rob","Robusta",IF(I929="Exc","Excelsa",IF(I929="Ara","Arabica",IF(I929="Lib","Liberica",""))))</f>
        <v>Excelsa</v>
      </c>
      <c r="O929" t="str">
        <f t="shared" si="1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9">
        <f>INDEX(products!$A$1:$G$49,MATCH(orders!$D930,products!$A$1:$A$49,0),MATCH(orders!K$1,products!$A$1:$G$1,0))</f>
        <v>2.5</v>
      </c>
      <c r="L930" s="5">
        <f>INDEX(products!$A$1:$G$49,MATCH(orders!$D930,products!$A$1:$A$49,0),MATCH(orders!L$1,products!$A$1:$G$1,0))</f>
        <v>31.624999999999996</v>
      </c>
      <c r="M930">
        <f>L930*E930</f>
        <v>63.249999999999993</v>
      </c>
      <c r="N930" t="str">
        <f>IF(I930="Rob","Robusta",IF(I930="Exc","Excelsa",IF(I930="Ara","Arabica",IF(I930="Lib","Liberica",""))))</f>
        <v>Excelsa</v>
      </c>
      <c r="O930" t="str">
        <f t="shared" si="1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9">
        <f>INDEX(products!$A$1:$G$49,MATCH(orders!$D931,products!$A$1:$A$49,0),MATCH(orders!K$1,products!$A$1:$G$1,0))</f>
        <v>0.2</v>
      </c>
      <c r="L931" s="5">
        <f>INDEX(products!$A$1:$G$49,MATCH(orders!$D931,products!$A$1:$A$49,0),MATCH(orders!L$1,products!$A$1:$G$1,0))</f>
        <v>4.4550000000000001</v>
      </c>
      <c r="M931">
        <f>L931*E931</f>
        <v>8.91</v>
      </c>
      <c r="N931" t="str">
        <f>IF(I931="Rob","Robusta",IF(I931="Exc","Excelsa",IF(I931="Ara","Arabica",IF(I931="Lib","Liberica",""))))</f>
        <v>Excelsa</v>
      </c>
      <c r="O931" t="str">
        <f t="shared" si="1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9">
        <f>INDEX(products!$A$1:$G$49,MATCH(orders!$D932,products!$A$1:$A$49,0),MATCH(orders!K$1,products!$A$1:$G$1,0))</f>
        <v>1</v>
      </c>
      <c r="L932" s="5">
        <f>INDEX(products!$A$1:$G$49,MATCH(orders!$D932,products!$A$1:$A$49,0),MATCH(orders!L$1,products!$A$1:$G$1,0))</f>
        <v>12.15</v>
      </c>
      <c r="M932">
        <f>L932*E932</f>
        <v>12.15</v>
      </c>
      <c r="N932" t="str">
        <f>IF(I932="Rob","Robusta",IF(I932="Exc","Excelsa",IF(I932="Ara","Arabica",IF(I932="Lib","Liberica",""))))</f>
        <v>Excelsa</v>
      </c>
      <c r="O932" t="str">
        <f t="shared" si="1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f>_xlfn.XLOOKUP(C933,customers!$A$1:$A$1001,customers!$C$1:$C$1001,,0)</f>
        <v>0</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9">
        <f>INDEX(products!$A$1:$G$49,MATCH(orders!$D933,products!$A$1:$A$49,0),MATCH(orders!K$1,products!$A$1:$G$1,0))</f>
        <v>0.5</v>
      </c>
      <c r="L933" s="5">
        <f>INDEX(products!$A$1:$G$49,MATCH(orders!$D933,products!$A$1:$A$49,0),MATCH(orders!L$1,products!$A$1:$G$1,0))</f>
        <v>5.97</v>
      </c>
      <c r="M933">
        <f>L933*E933</f>
        <v>23.88</v>
      </c>
      <c r="N933" t="str">
        <f>IF(I933="Rob","Robusta",IF(I933="Exc","Excelsa",IF(I933="Ara","Arabica",IF(I933="Lib","Liberica",""))))</f>
        <v>Arabica</v>
      </c>
      <c r="O933" t="str">
        <f t="shared" si="1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9">
        <f>INDEX(products!$A$1:$G$49,MATCH(orders!$D934,products!$A$1:$A$49,0),MATCH(orders!K$1,products!$A$1:$G$1,0))</f>
        <v>1</v>
      </c>
      <c r="L934" s="5">
        <f>INDEX(products!$A$1:$G$49,MATCH(orders!$D934,products!$A$1:$A$49,0),MATCH(orders!L$1,products!$A$1:$G$1,0))</f>
        <v>13.75</v>
      </c>
      <c r="M934">
        <f>L934*E934</f>
        <v>55</v>
      </c>
      <c r="N934" t="str">
        <f>IF(I934="Rob","Robusta",IF(I934="Exc","Excelsa",IF(I934="Ara","Arabica",IF(I934="Lib","Liberica",""))))</f>
        <v>Excelsa</v>
      </c>
      <c r="O934" t="str">
        <f t="shared" si="1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f>_xlfn.XLOOKUP(C935,customers!$A$1:$A$1001,customers!$C$1:$C$1001,,0)</f>
        <v>0</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9">
        <f>INDEX(products!$A$1:$G$49,MATCH(orders!$D935,products!$A$1:$A$49,0),MATCH(orders!K$1,products!$A$1:$G$1,0))</f>
        <v>1</v>
      </c>
      <c r="L935" s="5">
        <f>INDEX(products!$A$1:$G$49,MATCH(orders!$D935,products!$A$1:$A$49,0),MATCH(orders!L$1,products!$A$1:$G$1,0))</f>
        <v>8.9499999999999993</v>
      </c>
      <c r="M935">
        <f>L935*E935</f>
        <v>26.849999999999998</v>
      </c>
      <c r="N935" t="str">
        <f>IF(I935="Rob","Robusta",IF(I935="Exc","Excelsa",IF(I935="Ara","Arabica",IF(I935="Lib","Liberica",""))))</f>
        <v>Robusta</v>
      </c>
      <c r="O935" t="str">
        <f t="shared" si="1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9">
        <f>INDEX(products!$A$1:$G$49,MATCH(orders!$D936,products!$A$1:$A$49,0),MATCH(orders!K$1,products!$A$1:$G$1,0))</f>
        <v>2.5</v>
      </c>
      <c r="L936" s="5">
        <f>INDEX(products!$A$1:$G$49,MATCH(orders!$D936,products!$A$1:$A$49,0),MATCH(orders!L$1,products!$A$1:$G$1,0))</f>
        <v>22.884999999999998</v>
      </c>
      <c r="M936">
        <f>L936*E936</f>
        <v>114.42499999999998</v>
      </c>
      <c r="N936" t="str">
        <f>IF(I936="Rob","Robusta",IF(I936="Exc","Excelsa",IF(I936="Ara","Arabica",IF(I936="Lib","Liberica",""))))</f>
        <v>Robusta</v>
      </c>
      <c r="O936" t="str">
        <f t="shared" si="1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9">
        <f>INDEX(products!$A$1:$G$49,MATCH(orders!$D937,products!$A$1:$A$49,0),MATCH(orders!K$1,products!$A$1:$G$1,0))</f>
        <v>2.5</v>
      </c>
      <c r="L937" s="5">
        <f>INDEX(products!$A$1:$G$49,MATCH(orders!$D937,products!$A$1:$A$49,0),MATCH(orders!L$1,products!$A$1:$G$1,0))</f>
        <v>25.874999999999996</v>
      </c>
      <c r="M937">
        <f>L937*E937</f>
        <v>155.24999999999997</v>
      </c>
      <c r="N937" t="str">
        <f>IF(I937="Rob","Robusta",IF(I937="Exc","Excelsa",IF(I937="Ara","Arabica",IF(I937="Lib","Liberica",""))))</f>
        <v>Arabica</v>
      </c>
      <c r="O937" t="str">
        <f t="shared" si="1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9">
        <f>INDEX(products!$A$1:$G$49,MATCH(orders!$D938,products!$A$1:$A$49,0),MATCH(orders!K$1,products!$A$1:$G$1,0))</f>
        <v>0.5</v>
      </c>
      <c r="L938" s="5">
        <f>INDEX(products!$A$1:$G$49,MATCH(orders!$D938,products!$A$1:$A$49,0),MATCH(orders!L$1,products!$A$1:$G$1,0))</f>
        <v>7.77</v>
      </c>
      <c r="M938">
        <f>L938*E938</f>
        <v>23.31</v>
      </c>
      <c r="N938" t="str">
        <f>IF(I938="Rob","Robusta",IF(I938="Exc","Excelsa",IF(I938="Ara","Arabica",IF(I938="Lib","Liberica",""))))</f>
        <v>Liberica</v>
      </c>
      <c r="O938" t="str">
        <f t="shared" si="1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9">
        <f>INDEX(products!$A$1:$G$49,MATCH(orders!$D939,products!$A$1:$A$49,0),MATCH(orders!K$1,products!$A$1:$G$1,0))</f>
        <v>2.5</v>
      </c>
      <c r="L939" s="5">
        <f>INDEX(products!$A$1:$G$49,MATCH(orders!$D939,products!$A$1:$A$49,0),MATCH(orders!L$1,products!$A$1:$G$1,0))</f>
        <v>22.884999999999998</v>
      </c>
      <c r="M939">
        <f>L939*E939</f>
        <v>91.539999999999992</v>
      </c>
      <c r="N939" t="str">
        <f>IF(I939="Rob","Robusta",IF(I939="Exc","Excelsa",IF(I939="Ara","Arabica",IF(I939="Lib","Liberica",""))))</f>
        <v>Robusta</v>
      </c>
      <c r="O939" t="str">
        <f t="shared" si="1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9">
        <f>INDEX(products!$A$1:$G$49,MATCH(orders!$D940,products!$A$1:$A$49,0),MATCH(orders!K$1,products!$A$1:$G$1,0))</f>
        <v>1</v>
      </c>
      <c r="L940" s="5">
        <f>INDEX(products!$A$1:$G$49,MATCH(orders!$D940,products!$A$1:$A$49,0),MATCH(orders!L$1,products!$A$1:$G$1,0))</f>
        <v>14.85</v>
      </c>
      <c r="M940">
        <f>L940*E940</f>
        <v>74.25</v>
      </c>
      <c r="N940" t="str">
        <f>IF(I940="Rob","Robusta",IF(I940="Exc","Excelsa",IF(I940="Ara","Arabica",IF(I940="Lib","Liberica",""))))</f>
        <v>Excelsa</v>
      </c>
      <c r="O940" t="str">
        <f t="shared" si="1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9">
        <f>INDEX(products!$A$1:$G$49,MATCH(orders!$D941,products!$A$1:$A$49,0),MATCH(orders!K$1,products!$A$1:$G$1,0))</f>
        <v>0.2</v>
      </c>
      <c r="L941" s="5">
        <f>INDEX(products!$A$1:$G$49,MATCH(orders!$D941,products!$A$1:$A$49,0),MATCH(orders!L$1,products!$A$1:$G$1,0))</f>
        <v>4.7549999999999999</v>
      </c>
      <c r="M941">
        <f>L941*E941</f>
        <v>28.53</v>
      </c>
      <c r="N941" t="str">
        <f>IF(I941="Rob","Robusta",IF(I941="Exc","Excelsa",IF(I941="Ara","Arabica",IF(I941="Lib","Liberica",""))))</f>
        <v>Liberica</v>
      </c>
      <c r="O941" t="str">
        <f t="shared" si="1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9">
        <f>INDEX(products!$A$1:$G$49,MATCH(orders!$D942,products!$A$1:$A$49,0),MATCH(orders!K$1,products!$A$1:$G$1,0))</f>
        <v>0.5</v>
      </c>
      <c r="L942" s="5">
        <f>INDEX(products!$A$1:$G$49,MATCH(orders!$D942,products!$A$1:$A$49,0),MATCH(orders!L$1,products!$A$1:$G$1,0))</f>
        <v>7.169999999999999</v>
      </c>
      <c r="M942">
        <f>L942*E942</f>
        <v>14.339999999999998</v>
      </c>
      <c r="N942" t="str">
        <f>IF(I942="Rob","Robusta",IF(I942="Exc","Excelsa",IF(I942="Ara","Arabica",IF(I942="Lib","Liberica",""))))</f>
        <v>Robusta</v>
      </c>
      <c r="O942" t="str">
        <f t="shared" si="1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9">
        <f>INDEX(products!$A$1:$G$49,MATCH(orders!$D943,products!$A$1:$A$49,0),MATCH(orders!K$1,products!$A$1:$G$1,0))</f>
        <v>0.5</v>
      </c>
      <c r="L943" s="5">
        <f>INDEX(products!$A$1:$G$49,MATCH(orders!$D943,products!$A$1:$A$49,0),MATCH(orders!L$1,products!$A$1:$G$1,0))</f>
        <v>7.77</v>
      </c>
      <c r="M943">
        <f>L943*E943</f>
        <v>15.54</v>
      </c>
      <c r="N943" t="str">
        <f>IF(I943="Rob","Robusta",IF(I943="Exc","Excelsa",IF(I943="Ara","Arabica",IF(I943="Lib","Liberica",""))))</f>
        <v>Arabica</v>
      </c>
      <c r="O943" t="str">
        <f t="shared" si="1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9">
        <f>INDEX(products!$A$1:$G$49,MATCH(orders!$D944,products!$A$1:$A$49,0),MATCH(orders!K$1,products!$A$1:$G$1,0))</f>
        <v>1</v>
      </c>
      <c r="L944" s="5">
        <f>INDEX(products!$A$1:$G$49,MATCH(orders!$D944,products!$A$1:$A$49,0),MATCH(orders!L$1,products!$A$1:$G$1,0))</f>
        <v>11.95</v>
      </c>
      <c r="M944">
        <f>L944*E944</f>
        <v>35.849999999999994</v>
      </c>
      <c r="N944" t="str">
        <f>IF(I944="Rob","Robusta",IF(I944="Exc","Excelsa",IF(I944="Ara","Arabica",IF(I944="Lib","Liberica",""))))</f>
        <v>Robusta</v>
      </c>
      <c r="O944" t="str">
        <f t="shared" si="1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9">
        <f>INDEX(products!$A$1:$G$49,MATCH(orders!$D945,products!$A$1:$A$49,0),MATCH(orders!K$1,products!$A$1:$G$1,0))</f>
        <v>0.5</v>
      </c>
      <c r="L945" s="5">
        <f>INDEX(products!$A$1:$G$49,MATCH(orders!$D945,products!$A$1:$A$49,0),MATCH(orders!L$1,products!$A$1:$G$1,0))</f>
        <v>7.77</v>
      </c>
      <c r="M945">
        <f>L945*E945</f>
        <v>46.62</v>
      </c>
      <c r="N945" t="str">
        <f>IF(I945="Rob","Robusta",IF(I945="Exc","Excelsa",IF(I945="Ara","Arabica",IF(I945="Lib","Liberica",""))))</f>
        <v>Arabica</v>
      </c>
      <c r="O945" t="str">
        <f t="shared" si="1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9">
        <f>INDEX(products!$A$1:$G$49,MATCH(orders!$D946,products!$A$1:$A$49,0),MATCH(orders!K$1,products!$A$1:$G$1,0))</f>
        <v>0.5</v>
      </c>
      <c r="L946" s="5">
        <f>INDEX(products!$A$1:$G$49,MATCH(orders!$D946,products!$A$1:$A$49,0),MATCH(orders!L$1,products!$A$1:$G$1,0))</f>
        <v>7.169999999999999</v>
      </c>
      <c r="M946">
        <f>L946*E946</f>
        <v>35.849999999999994</v>
      </c>
      <c r="N946" t="str">
        <f>IF(I946="Rob","Robusta",IF(I946="Exc","Excelsa",IF(I946="Ara","Arabica",IF(I946="Lib","Liberica",""))))</f>
        <v>Robusta</v>
      </c>
      <c r="O946" t="str">
        <f t="shared" si="1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f>_xlfn.XLOOKUP(C947,customers!$A$1:$A$1001,customers!$C$1:$C$1001,,0)</f>
        <v>0</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9">
        <f>INDEX(products!$A$1:$G$49,MATCH(orders!$D947,products!$A$1:$A$49,0),MATCH(orders!K$1,products!$A$1:$G$1,0))</f>
        <v>2.5</v>
      </c>
      <c r="L947" s="5">
        <f>INDEX(products!$A$1:$G$49,MATCH(orders!$D947,products!$A$1:$A$49,0),MATCH(orders!L$1,products!$A$1:$G$1,0))</f>
        <v>29.784999999999997</v>
      </c>
      <c r="M947">
        <f>L947*E947</f>
        <v>119.13999999999999</v>
      </c>
      <c r="N947" t="str">
        <f>IF(I947="Rob","Robusta",IF(I947="Exc","Excelsa",IF(I947="Ara","Arabica",IF(I947="Lib","Liberica",""))))</f>
        <v>Liberica</v>
      </c>
      <c r="O947" t="str">
        <f t="shared" si="1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f>_xlfn.XLOOKUP(C948,customers!$A$1:$A$1001,customers!$C$1:$C$1001,,0)</f>
        <v>0</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9">
        <f>INDEX(products!$A$1:$G$49,MATCH(orders!$D948,products!$A$1:$A$49,0),MATCH(orders!K$1,products!$A$1:$G$1,0))</f>
        <v>0.5</v>
      </c>
      <c r="L948" s="5">
        <f>INDEX(products!$A$1:$G$49,MATCH(orders!$D948,products!$A$1:$A$49,0),MATCH(orders!L$1,products!$A$1:$G$1,0))</f>
        <v>7.77</v>
      </c>
      <c r="M948">
        <f>L948*E948</f>
        <v>23.31</v>
      </c>
      <c r="N948" t="str">
        <f>IF(I948="Rob","Robusta",IF(I948="Exc","Excelsa",IF(I948="Ara","Arabica",IF(I948="Lib","Liberica",""))))</f>
        <v>Liberica</v>
      </c>
      <c r="O948" t="str">
        <f t="shared" si="1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9">
        <f>INDEX(products!$A$1:$G$49,MATCH(orders!$D949,products!$A$1:$A$49,0),MATCH(orders!K$1,products!$A$1:$G$1,0))</f>
        <v>1</v>
      </c>
      <c r="L949" s="5">
        <f>INDEX(products!$A$1:$G$49,MATCH(orders!$D949,products!$A$1:$A$49,0),MATCH(orders!L$1,products!$A$1:$G$1,0))</f>
        <v>11.25</v>
      </c>
      <c r="M949">
        <f>L949*E949</f>
        <v>11.25</v>
      </c>
      <c r="N949" t="str">
        <f>IF(I949="Rob","Robusta",IF(I949="Exc","Excelsa",IF(I949="Ara","Arabica",IF(I949="Lib","Liberica",""))))</f>
        <v>Arabica</v>
      </c>
      <c r="O949" t="str">
        <f t="shared" si="1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9">
        <f>INDEX(products!$A$1:$G$49,MATCH(orders!$D950,products!$A$1:$A$49,0),MATCH(orders!K$1,products!$A$1:$G$1,0))</f>
        <v>2.5</v>
      </c>
      <c r="L950" s="5">
        <f>INDEX(products!$A$1:$G$49,MATCH(orders!$D950,products!$A$1:$A$49,0),MATCH(orders!L$1,products!$A$1:$G$1,0))</f>
        <v>27.945</v>
      </c>
      <c r="M950">
        <f>L950*E950</f>
        <v>83.835000000000008</v>
      </c>
      <c r="N950" t="str">
        <f>IF(I950="Rob","Robusta",IF(I950="Exc","Excelsa",IF(I950="Ara","Arabica",IF(I950="Lib","Liberica",""))))</f>
        <v>Excelsa</v>
      </c>
      <c r="O950" t="str">
        <f t="shared" si="1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9">
        <f>INDEX(products!$A$1:$G$49,MATCH(orders!$D951,products!$A$1:$A$49,0),MATCH(orders!K$1,products!$A$1:$G$1,0))</f>
        <v>2.5</v>
      </c>
      <c r="L951" s="5">
        <f>INDEX(products!$A$1:$G$49,MATCH(orders!$D951,products!$A$1:$A$49,0),MATCH(orders!L$1,products!$A$1:$G$1,0))</f>
        <v>27.484999999999996</v>
      </c>
      <c r="M951">
        <f>L951*E951</f>
        <v>109.93999999999998</v>
      </c>
      <c r="N951" t="str">
        <f>IF(I951="Rob","Robusta",IF(I951="Exc","Excelsa",IF(I951="Ara","Arabica",IF(I951="Lib","Liberica",""))))</f>
        <v>Robusta</v>
      </c>
      <c r="O951" t="str">
        <f t="shared" si="1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f>_xlfn.XLOOKUP(C952,customers!$A$1:$A$1001,customers!$C$1:$C$1001,,0)</f>
        <v>0</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9">
        <f>INDEX(products!$A$1:$G$49,MATCH(orders!$D952,products!$A$1:$A$49,0),MATCH(orders!K$1,products!$A$1:$G$1,0))</f>
        <v>0.2</v>
      </c>
      <c r="L952" s="5">
        <f>INDEX(products!$A$1:$G$49,MATCH(orders!$D952,products!$A$1:$A$49,0),MATCH(orders!L$1,products!$A$1:$G$1,0))</f>
        <v>3.5849999999999995</v>
      </c>
      <c r="M952">
        <f>L952*E952</f>
        <v>14.339999999999998</v>
      </c>
      <c r="N952" t="str">
        <f>IF(I952="Rob","Robusta",IF(I952="Exc","Excelsa",IF(I952="Ara","Arabica",IF(I952="Lib","Liberica",""))))</f>
        <v>Robusta</v>
      </c>
      <c r="O952" t="str">
        <f t="shared" si="1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9">
        <f>INDEX(products!$A$1:$G$49,MATCH(orders!$D953,products!$A$1:$A$49,0),MATCH(orders!K$1,products!$A$1:$G$1,0))</f>
        <v>0.2</v>
      </c>
      <c r="L953" s="5">
        <f>INDEX(products!$A$1:$G$49,MATCH(orders!$D953,products!$A$1:$A$49,0),MATCH(orders!L$1,products!$A$1:$G$1,0))</f>
        <v>3.5849999999999995</v>
      </c>
      <c r="M953">
        <f>L953*E953</f>
        <v>21.509999999999998</v>
      </c>
      <c r="N953" t="str">
        <f>IF(I953="Rob","Robusta",IF(I953="Exc","Excelsa",IF(I953="Ara","Arabica",IF(I953="Lib","Liberica",""))))</f>
        <v>Robusta</v>
      </c>
      <c r="O953" t="str">
        <f t="shared" si="1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9">
        <f>INDEX(products!$A$1:$G$49,MATCH(orders!$D954,products!$A$1:$A$49,0),MATCH(orders!K$1,products!$A$1:$G$1,0))</f>
        <v>1</v>
      </c>
      <c r="L954" s="5">
        <f>INDEX(products!$A$1:$G$49,MATCH(orders!$D954,products!$A$1:$A$49,0),MATCH(orders!L$1,products!$A$1:$G$1,0))</f>
        <v>11.25</v>
      </c>
      <c r="M954">
        <f>L954*E954</f>
        <v>22.5</v>
      </c>
      <c r="N954" t="str">
        <f>IF(I954="Rob","Robusta",IF(I954="Exc","Excelsa",IF(I954="Ara","Arabica",IF(I954="Lib","Liberica",""))))</f>
        <v>Arabica</v>
      </c>
      <c r="O954" t="str">
        <f t="shared" si="1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f>_xlfn.XLOOKUP(C955,customers!$A$1:$A$1001,customers!$C$1:$C$1001,,0)</f>
        <v>0</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9">
        <f>INDEX(products!$A$1:$G$49,MATCH(orders!$D955,products!$A$1:$A$49,0),MATCH(orders!K$1,products!$A$1:$G$1,0))</f>
        <v>0.2</v>
      </c>
      <c r="L955" s="5">
        <f>INDEX(products!$A$1:$G$49,MATCH(orders!$D955,products!$A$1:$A$49,0),MATCH(orders!L$1,products!$A$1:$G$1,0))</f>
        <v>3.8849999999999998</v>
      </c>
      <c r="M955">
        <f>L955*E955</f>
        <v>3.8849999999999998</v>
      </c>
      <c r="N955" t="str">
        <f>IF(I955="Rob","Robusta",IF(I955="Exc","Excelsa",IF(I955="Ara","Arabica",IF(I955="Lib","Liberica",""))))</f>
        <v>Arabica</v>
      </c>
      <c r="O955" t="str">
        <f t="shared" si="1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f>_xlfn.XLOOKUP(C956,customers!$A$1:$A$1001,customers!$C$1:$C$1001,,0)</f>
        <v>0</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9">
        <f>INDEX(products!$A$1:$G$49,MATCH(orders!$D956,products!$A$1:$A$49,0),MATCH(orders!K$1,products!$A$1:$G$1,0))</f>
        <v>2.5</v>
      </c>
      <c r="L956" s="5">
        <f>INDEX(products!$A$1:$G$49,MATCH(orders!$D956,products!$A$1:$A$49,0),MATCH(orders!L$1,products!$A$1:$G$1,0))</f>
        <v>27.945</v>
      </c>
      <c r="M956">
        <f>L956*E956</f>
        <v>27.945</v>
      </c>
      <c r="N956" t="str">
        <f>IF(I956="Rob","Robusta",IF(I956="Exc","Excelsa",IF(I956="Ara","Arabica",IF(I956="Lib","Liberica",""))))</f>
        <v>Excelsa</v>
      </c>
      <c r="O956" t="str">
        <f t="shared" si="1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f>_xlfn.XLOOKUP(C957,customers!$A$1:$A$1001,customers!$C$1:$C$1001,,0)</f>
        <v>0</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9">
        <f>INDEX(products!$A$1:$G$49,MATCH(orders!$D957,products!$A$1:$A$49,0),MATCH(orders!K$1,products!$A$1:$G$1,0))</f>
        <v>2.5</v>
      </c>
      <c r="L957" s="5">
        <f>INDEX(products!$A$1:$G$49,MATCH(orders!$D957,products!$A$1:$A$49,0),MATCH(orders!L$1,products!$A$1:$G$1,0))</f>
        <v>34.154999999999994</v>
      </c>
      <c r="M957">
        <f>L957*E957</f>
        <v>170.77499999999998</v>
      </c>
      <c r="N957" t="str">
        <f>IF(I957="Rob","Robusta",IF(I957="Exc","Excelsa",IF(I957="Ara","Arabica",IF(I957="Lib","Liberica",""))))</f>
        <v>Excelsa</v>
      </c>
      <c r="O957" t="str">
        <f t="shared" si="1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f>_xlfn.XLOOKUP(C958,customers!$A$1:$A$1001,customers!$C$1:$C$1001,,0)</f>
        <v>0</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9">
        <f>INDEX(products!$A$1:$G$49,MATCH(orders!$D958,products!$A$1:$A$49,0),MATCH(orders!K$1,products!$A$1:$G$1,0))</f>
        <v>2.5</v>
      </c>
      <c r="L958" s="5">
        <f>INDEX(products!$A$1:$G$49,MATCH(orders!$D958,products!$A$1:$A$49,0),MATCH(orders!L$1,products!$A$1:$G$1,0))</f>
        <v>27.484999999999996</v>
      </c>
      <c r="M958">
        <f>L958*E958</f>
        <v>54.969999999999992</v>
      </c>
      <c r="N958" t="str">
        <f>IF(I958="Rob","Robusta",IF(I958="Exc","Excelsa",IF(I958="Ara","Arabica",IF(I958="Lib","Liberica",""))))</f>
        <v>Robusta</v>
      </c>
      <c r="O958" t="str">
        <f t="shared" si="1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f>_xlfn.XLOOKUP(C959,customers!$A$1:$A$1001,customers!$C$1:$C$1001,,0)</f>
        <v>0</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9">
        <f>INDEX(products!$A$1:$G$49,MATCH(orders!$D959,products!$A$1:$A$49,0),MATCH(orders!K$1,products!$A$1:$G$1,0))</f>
        <v>1</v>
      </c>
      <c r="L959" s="5">
        <f>INDEX(products!$A$1:$G$49,MATCH(orders!$D959,products!$A$1:$A$49,0),MATCH(orders!L$1,products!$A$1:$G$1,0))</f>
        <v>14.85</v>
      </c>
      <c r="M959">
        <f>L959*E959</f>
        <v>14.85</v>
      </c>
      <c r="N959" t="str">
        <f>IF(I959="Rob","Robusta",IF(I959="Exc","Excelsa",IF(I959="Ara","Arabica",IF(I959="Lib","Liberica",""))))</f>
        <v>Excelsa</v>
      </c>
      <c r="O959" t="str">
        <f t="shared" si="1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f>_xlfn.XLOOKUP(C960,customers!$A$1:$A$1001,customers!$C$1:$C$1001,,0)</f>
        <v>0</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9">
        <f>INDEX(products!$A$1:$G$49,MATCH(orders!$D960,products!$A$1:$A$49,0),MATCH(orders!K$1,products!$A$1:$G$1,0))</f>
        <v>0.2</v>
      </c>
      <c r="L960" s="5">
        <f>INDEX(products!$A$1:$G$49,MATCH(orders!$D960,products!$A$1:$A$49,0),MATCH(orders!L$1,products!$A$1:$G$1,0))</f>
        <v>3.8849999999999998</v>
      </c>
      <c r="M960">
        <f>L960*E960</f>
        <v>7.77</v>
      </c>
      <c r="N960" t="str">
        <f>IF(I960="Rob","Robusta",IF(I960="Exc","Excelsa",IF(I960="Ara","Arabica",IF(I960="Lib","Liberica",""))))</f>
        <v>Arabica</v>
      </c>
      <c r="O960" t="str">
        <f t="shared" si="1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9">
        <f>INDEX(products!$A$1:$G$49,MATCH(orders!$D961,products!$A$1:$A$49,0),MATCH(orders!K$1,products!$A$1:$G$1,0))</f>
        <v>0.2</v>
      </c>
      <c r="L961" s="5">
        <f>INDEX(products!$A$1:$G$49,MATCH(orders!$D961,products!$A$1:$A$49,0),MATCH(orders!L$1,products!$A$1:$G$1,0))</f>
        <v>4.7549999999999999</v>
      </c>
      <c r="M961">
        <f>L961*E961</f>
        <v>23.774999999999999</v>
      </c>
      <c r="N961" t="str">
        <f>IF(I961="Rob","Robusta",IF(I961="Exc","Excelsa",IF(I961="Ara","Arabica",IF(I961="Lib","Liberica",""))))</f>
        <v>Liberica</v>
      </c>
      <c r="O961" t="str">
        <f t="shared" si="1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9">
        <f>INDEX(products!$A$1:$G$49,MATCH(orders!$D962,products!$A$1:$A$49,0),MATCH(orders!K$1,products!$A$1:$G$1,0))</f>
        <v>1</v>
      </c>
      <c r="L962" s="5">
        <f>INDEX(products!$A$1:$G$49,MATCH(orders!$D962,products!$A$1:$A$49,0),MATCH(orders!L$1,products!$A$1:$G$1,0))</f>
        <v>15.85</v>
      </c>
      <c r="M962">
        <f>L962*E962</f>
        <v>79.25</v>
      </c>
      <c r="N962" t="str">
        <f>IF(I962="Rob","Robusta",IF(I962="Exc","Excelsa",IF(I962="Ara","Arabica",IF(I962="Lib","Liberica",""))))</f>
        <v>Liberica</v>
      </c>
      <c r="O962" t="str">
        <f t="shared" si="1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f>_xlfn.XLOOKUP(C963,customers!$A$1:$A$1001,customers!$C$1:$C$1001,,0)</f>
        <v>0</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9">
        <f>INDEX(products!$A$1:$G$49,MATCH(orders!$D963,products!$A$1:$A$49,0),MATCH(orders!K$1,products!$A$1:$G$1,0))</f>
        <v>2.5</v>
      </c>
      <c r="L963" s="5">
        <f>INDEX(products!$A$1:$G$49,MATCH(orders!$D963,products!$A$1:$A$49,0),MATCH(orders!L$1,products!$A$1:$G$1,0))</f>
        <v>22.884999999999998</v>
      </c>
      <c r="M963">
        <f>L963*E963</f>
        <v>45.769999999999996</v>
      </c>
      <c r="N963" t="str">
        <f>IF(I963="Rob","Robusta",IF(I963="Exc","Excelsa",IF(I963="Ara","Arabica",IF(I963="Lib","Liberica",""))))</f>
        <v>Arabica</v>
      </c>
      <c r="O963" t="str">
        <f t="shared" ref="O963:O1001" si="15">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9">
        <f>INDEX(products!$A$1:$G$49,MATCH(orders!$D964,products!$A$1:$A$49,0),MATCH(orders!K$1,products!$A$1:$G$1,0))</f>
        <v>1</v>
      </c>
      <c r="L964" s="5">
        <f>INDEX(products!$A$1:$G$49,MATCH(orders!$D964,products!$A$1:$A$49,0),MATCH(orders!L$1,products!$A$1:$G$1,0))</f>
        <v>8.9499999999999993</v>
      </c>
      <c r="M964">
        <f>L964*E964</f>
        <v>8.9499999999999993</v>
      </c>
      <c r="N964" t="str">
        <f>IF(I964="Rob","Robusta",IF(I964="Exc","Excelsa",IF(I964="Ara","Arabica",IF(I964="Lib","Liberica",""))))</f>
        <v>Robusta</v>
      </c>
      <c r="O964" t="str">
        <f t="shared" si="15"/>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9">
        <f>INDEX(products!$A$1:$G$49,MATCH(orders!$D965,products!$A$1:$A$49,0),MATCH(orders!K$1,products!$A$1:$G$1,0))</f>
        <v>0.5</v>
      </c>
      <c r="L965" s="5">
        <f>INDEX(products!$A$1:$G$49,MATCH(orders!$D965,products!$A$1:$A$49,0),MATCH(orders!L$1,products!$A$1:$G$1,0))</f>
        <v>5.97</v>
      </c>
      <c r="M965">
        <f>L965*E965</f>
        <v>23.88</v>
      </c>
      <c r="N965" t="str">
        <f>IF(I965="Rob","Robusta",IF(I965="Exc","Excelsa",IF(I965="Ara","Arabica",IF(I965="Lib","Liberica",""))))</f>
        <v>Robusta</v>
      </c>
      <c r="O965" t="str">
        <f t="shared" si="15"/>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9">
        <f>INDEX(products!$A$1:$G$49,MATCH(orders!$D966,products!$A$1:$A$49,0),MATCH(orders!K$1,products!$A$1:$G$1,0))</f>
        <v>0.2</v>
      </c>
      <c r="L966" s="5">
        <f>INDEX(products!$A$1:$G$49,MATCH(orders!$D966,products!$A$1:$A$49,0),MATCH(orders!L$1,products!$A$1:$G$1,0))</f>
        <v>4.4550000000000001</v>
      </c>
      <c r="M966">
        <f>L966*E966</f>
        <v>22.274999999999999</v>
      </c>
      <c r="N966" t="str">
        <f>IF(I966="Rob","Robusta",IF(I966="Exc","Excelsa",IF(I966="Ara","Arabica",IF(I966="Lib","Liberica",""))))</f>
        <v>Excelsa</v>
      </c>
      <c r="O966" t="str">
        <f t="shared" si="15"/>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9">
        <f>INDEX(products!$A$1:$G$49,MATCH(orders!$D967,products!$A$1:$A$49,0),MATCH(orders!K$1,products!$A$1:$G$1,0))</f>
        <v>1</v>
      </c>
      <c r="L967" s="5">
        <f>INDEX(products!$A$1:$G$49,MATCH(orders!$D967,products!$A$1:$A$49,0),MATCH(orders!L$1,products!$A$1:$G$1,0))</f>
        <v>9.9499999999999993</v>
      </c>
      <c r="M967">
        <f>L967*E967</f>
        <v>29.849999999999998</v>
      </c>
      <c r="N967" t="str">
        <f>IF(I967="Rob","Robusta",IF(I967="Exc","Excelsa",IF(I967="Ara","Arabica",IF(I967="Lib","Liberica",""))))</f>
        <v>Robusta</v>
      </c>
      <c r="O967" t="str">
        <f t="shared" si="15"/>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9">
        <f>INDEX(products!$A$1:$G$49,MATCH(orders!$D968,products!$A$1:$A$49,0),MATCH(orders!K$1,products!$A$1:$G$1,0))</f>
        <v>0.5</v>
      </c>
      <c r="L968" s="5">
        <f>INDEX(products!$A$1:$G$49,MATCH(orders!$D968,products!$A$1:$A$49,0),MATCH(orders!L$1,products!$A$1:$G$1,0))</f>
        <v>8.91</v>
      </c>
      <c r="M968">
        <f>L968*E968</f>
        <v>53.46</v>
      </c>
      <c r="N968" t="str">
        <f>IF(I968="Rob","Robusta",IF(I968="Exc","Excelsa",IF(I968="Ara","Arabica",IF(I968="Lib","Liberica",""))))</f>
        <v>Excelsa</v>
      </c>
      <c r="O968" t="str">
        <f t="shared" si="15"/>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9">
        <f>INDEX(products!$A$1:$G$49,MATCH(orders!$D969,products!$A$1:$A$49,0),MATCH(orders!K$1,products!$A$1:$G$1,0))</f>
        <v>0.2</v>
      </c>
      <c r="L969" s="5">
        <f>INDEX(products!$A$1:$G$49,MATCH(orders!$D969,products!$A$1:$A$49,0),MATCH(orders!L$1,products!$A$1:$G$1,0))</f>
        <v>2.6849999999999996</v>
      </c>
      <c r="M969">
        <f>L969*E969</f>
        <v>2.6849999999999996</v>
      </c>
      <c r="N969" t="str">
        <f>IF(I969="Rob","Robusta",IF(I969="Exc","Excelsa",IF(I969="Ara","Arabica",IF(I969="Lib","Liberica",""))))</f>
        <v>Robusta</v>
      </c>
      <c r="O969" t="str">
        <f t="shared" si="15"/>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9">
        <f>INDEX(products!$A$1:$G$49,MATCH(orders!$D970,products!$A$1:$A$49,0),MATCH(orders!K$1,products!$A$1:$G$1,0))</f>
        <v>0.2</v>
      </c>
      <c r="L970" s="5">
        <f>INDEX(products!$A$1:$G$49,MATCH(orders!$D970,products!$A$1:$A$49,0),MATCH(orders!L$1,products!$A$1:$G$1,0))</f>
        <v>2.9849999999999999</v>
      </c>
      <c r="M970">
        <f>L970*E970</f>
        <v>5.97</v>
      </c>
      <c r="N970" t="str">
        <f>IF(I970="Rob","Robusta",IF(I970="Exc","Excelsa",IF(I970="Ara","Arabica",IF(I970="Lib","Liberica",""))))</f>
        <v>Robusta</v>
      </c>
      <c r="O970" t="str">
        <f t="shared" si="15"/>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9">
        <f>INDEX(products!$A$1:$G$49,MATCH(orders!$D971,products!$A$1:$A$49,0),MATCH(orders!K$1,products!$A$1:$G$1,0))</f>
        <v>1</v>
      </c>
      <c r="L971" s="5">
        <f>INDEX(products!$A$1:$G$49,MATCH(orders!$D971,products!$A$1:$A$49,0),MATCH(orders!L$1,products!$A$1:$G$1,0))</f>
        <v>12.95</v>
      </c>
      <c r="M971">
        <f>L971*E971</f>
        <v>12.95</v>
      </c>
      <c r="N971" t="str">
        <f>IF(I971="Rob","Robusta",IF(I971="Exc","Excelsa",IF(I971="Ara","Arabica",IF(I971="Lib","Liberica",""))))</f>
        <v>Liberica</v>
      </c>
      <c r="O971" t="str">
        <f t="shared" si="15"/>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f>_xlfn.XLOOKUP(C972,customers!$A$1:$A$1001,customers!$C$1:$C$1001,,0)</f>
        <v>0</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9">
        <f>INDEX(products!$A$1:$G$49,MATCH(orders!$D972,products!$A$1:$A$49,0),MATCH(orders!K$1,products!$A$1:$G$1,0))</f>
        <v>0.5</v>
      </c>
      <c r="L972" s="5">
        <f>INDEX(products!$A$1:$G$49,MATCH(orders!$D972,products!$A$1:$A$49,0),MATCH(orders!L$1,products!$A$1:$G$1,0))</f>
        <v>8.25</v>
      </c>
      <c r="M972">
        <f>L972*E972</f>
        <v>8.25</v>
      </c>
      <c r="N972" t="str">
        <f>IF(I972="Rob","Robusta",IF(I972="Exc","Excelsa",IF(I972="Ara","Arabica",IF(I972="Lib","Liberica",""))))</f>
        <v>Excelsa</v>
      </c>
      <c r="O972" t="str">
        <f t="shared" si="15"/>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9">
        <f>INDEX(products!$A$1:$G$49,MATCH(orders!$D973,products!$A$1:$A$49,0),MATCH(orders!K$1,products!$A$1:$G$1,0))</f>
        <v>2.5</v>
      </c>
      <c r="L973" s="5">
        <f>INDEX(products!$A$1:$G$49,MATCH(orders!$D973,products!$A$1:$A$49,0),MATCH(orders!L$1,products!$A$1:$G$1,0))</f>
        <v>29.784999999999997</v>
      </c>
      <c r="M973">
        <f>L973*E973</f>
        <v>148.92499999999998</v>
      </c>
      <c r="N973" t="str">
        <f>IF(I973="Rob","Robusta",IF(I973="Exc","Excelsa",IF(I973="Ara","Arabica",IF(I973="Lib","Liberica",""))))</f>
        <v>Arabica</v>
      </c>
      <c r="O973" t="str">
        <f t="shared" si="15"/>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f>_xlfn.XLOOKUP(C974,customers!$A$1:$A$1001,customers!$C$1:$C$1001,,0)</f>
        <v>0</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9">
        <f>INDEX(products!$A$1:$G$49,MATCH(orders!$D974,products!$A$1:$A$49,0),MATCH(orders!K$1,products!$A$1:$G$1,0))</f>
        <v>2.5</v>
      </c>
      <c r="L974" s="5">
        <f>INDEX(products!$A$1:$G$49,MATCH(orders!$D974,products!$A$1:$A$49,0),MATCH(orders!L$1,products!$A$1:$G$1,0))</f>
        <v>29.784999999999997</v>
      </c>
      <c r="M974">
        <f>L974*E974</f>
        <v>89.35499999999999</v>
      </c>
      <c r="N974" t="str">
        <f>IF(I974="Rob","Robusta",IF(I974="Exc","Excelsa",IF(I974="Ara","Arabica",IF(I974="Lib","Liberica",""))))</f>
        <v>Arabica</v>
      </c>
      <c r="O974" t="str">
        <f t="shared" si="15"/>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9">
        <f>INDEX(products!$A$1:$G$49,MATCH(orders!$D975,products!$A$1:$A$49,0),MATCH(orders!K$1,products!$A$1:$G$1,0))</f>
        <v>1</v>
      </c>
      <c r="L975" s="5">
        <f>INDEX(products!$A$1:$G$49,MATCH(orders!$D975,products!$A$1:$A$49,0),MATCH(orders!L$1,products!$A$1:$G$1,0))</f>
        <v>14.55</v>
      </c>
      <c r="M975">
        <f>L975*E975</f>
        <v>87.300000000000011</v>
      </c>
      <c r="N975" t="str">
        <f>IF(I975="Rob","Robusta",IF(I975="Exc","Excelsa",IF(I975="Ara","Arabica",IF(I975="Lib","Liberica",""))))</f>
        <v>Liberica</v>
      </c>
      <c r="O975" t="str">
        <f t="shared" si="15"/>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9">
        <f>INDEX(products!$A$1:$G$49,MATCH(orders!$D976,products!$A$1:$A$49,0),MATCH(orders!K$1,products!$A$1:$G$1,0))</f>
        <v>0.5</v>
      </c>
      <c r="L976" s="5">
        <f>INDEX(products!$A$1:$G$49,MATCH(orders!$D976,products!$A$1:$A$49,0),MATCH(orders!L$1,products!$A$1:$G$1,0))</f>
        <v>5.3699999999999992</v>
      </c>
      <c r="M976">
        <f>L976*E976</f>
        <v>5.3699999999999992</v>
      </c>
      <c r="N976" t="str">
        <f>IF(I976="Rob","Robusta",IF(I976="Exc","Excelsa",IF(I976="Ara","Arabica",IF(I976="Lib","Liberica",""))))</f>
        <v>Robusta</v>
      </c>
      <c r="O976" t="str">
        <f t="shared" si="15"/>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9">
        <f>INDEX(products!$A$1:$G$49,MATCH(orders!$D977,products!$A$1:$A$49,0),MATCH(orders!K$1,products!$A$1:$G$1,0))</f>
        <v>0.2</v>
      </c>
      <c r="L977" s="5">
        <f>INDEX(products!$A$1:$G$49,MATCH(orders!$D977,products!$A$1:$A$49,0),MATCH(orders!L$1,products!$A$1:$G$1,0))</f>
        <v>2.9849999999999999</v>
      </c>
      <c r="M977">
        <f>L977*E977</f>
        <v>8.9550000000000001</v>
      </c>
      <c r="N977" t="str">
        <f>IF(I977="Rob","Robusta",IF(I977="Exc","Excelsa",IF(I977="Ara","Arabica",IF(I977="Lib","Liberica",""))))</f>
        <v>Arabica</v>
      </c>
      <c r="O977" t="str">
        <f t="shared" si="15"/>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9">
        <f>INDEX(products!$A$1:$G$49,MATCH(orders!$D978,products!$A$1:$A$49,0),MATCH(orders!K$1,products!$A$1:$G$1,0))</f>
        <v>2.5</v>
      </c>
      <c r="L978" s="5">
        <f>INDEX(products!$A$1:$G$49,MATCH(orders!$D978,products!$A$1:$A$49,0),MATCH(orders!L$1,products!$A$1:$G$1,0))</f>
        <v>27.484999999999996</v>
      </c>
      <c r="M978">
        <f>L978*E978</f>
        <v>137.42499999999998</v>
      </c>
      <c r="N978" t="str">
        <f>IF(I978="Rob","Robusta",IF(I978="Exc","Excelsa",IF(I978="Ara","Arabica",IF(I978="Lib","Liberica",""))))</f>
        <v>Robusta</v>
      </c>
      <c r="O978" t="str">
        <f t="shared" si="15"/>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9">
        <f>INDEX(products!$A$1:$G$49,MATCH(orders!$D979,products!$A$1:$A$49,0),MATCH(orders!K$1,products!$A$1:$G$1,0))</f>
        <v>1</v>
      </c>
      <c r="L979" s="5">
        <f>INDEX(products!$A$1:$G$49,MATCH(orders!$D979,products!$A$1:$A$49,0),MATCH(orders!L$1,products!$A$1:$G$1,0))</f>
        <v>11.95</v>
      </c>
      <c r="M979">
        <f>L979*E979</f>
        <v>59.75</v>
      </c>
      <c r="N979" t="str">
        <f>IF(I979="Rob","Robusta",IF(I979="Exc","Excelsa",IF(I979="Ara","Arabica",IF(I979="Lib","Liberica",""))))</f>
        <v>Robusta</v>
      </c>
      <c r="O979" t="str">
        <f t="shared" si="15"/>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9">
        <f>INDEX(products!$A$1:$G$49,MATCH(orders!$D980,products!$A$1:$A$49,0),MATCH(orders!K$1,products!$A$1:$G$1,0))</f>
        <v>0.5</v>
      </c>
      <c r="L980" s="5">
        <f>INDEX(products!$A$1:$G$49,MATCH(orders!$D980,products!$A$1:$A$49,0),MATCH(orders!L$1,products!$A$1:$G$1,0))</f>
        <v>7.77</v>
      </c>
      <c r="M980">
        <f>L980*E980</f>
        <v>23.31</v>
      </c>
      <c r="N980" t="str">
        <f>IF(I980="Rob","Robusta",IF(I980="Exc","Excelsa",IF(I980="Ara","Arabica",IF(I980="Lib","Liberica",""))))</f>
        <v>Arabica</v>
      </c>
      <c r="O980" t="str">
        <f t="shared" si="15"/>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f>_xlfn.XLOOKUP(C981,customers!$A$1:$A$1001,customers!$C$1:$C$1001,,0)</f>
        <v>0</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9">
        <f>INDEX(products!$A$1:$G$49,MATCH(orders!$D981,products!$A$1:$A$49,0),MATCH(orders!K$1,products!$A$1:$G$1,0))</f>
        <v>0.5</v>
      </c>
      <c r="L981" s="5">
        <f>INDEX(products!$A$1:$G$49,MATCH(orders!$D981,products!$A$1:$A$49,0),MATCH(orders!L$1,products!$A$1:$G$1,0))</f>
        <v>5.3699999999999992</v>
      </c>
      <c r="M981">
        <f>L981*E981</f>
        <v>10.739999999999998</v>
      </c>
      <c r="N981" t="str">
        <f>IF(I981="Rob","Robusta",IF(I981="Exc","Excelsa",IF(I981="Ara","Arabica",IF(I981="Lib","Liberica",""))))</f>
        <v>Robusta</v>
      </c>
      <c r="O981" t="str">
        <f t="shared" si="15"/>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f>_xlfn.XLOOKUP(C982,customers!$A$1:$A$1001,customers!$C$1:$C$1001,,0)</f>
        <v>0</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9">
        <f>INDEX(products!$A$1:$G$49,MATCH(orders!$D982,products!$A$1:$A$49,0),MATCH(orders!K$1,products!$A$1:$G$1,0))</f>
        <v>2.5</v>
      </c>
      <c r="L982" s="5">
        <f>INDEX(products!$A$1:$G$49,MATCH(orders!$D982,products!$A$1:$A$49,0),MATCH(orders!L$1,products!$A$1:$G$1,0))</f>
        <v>27.945</v>
      </c>
      <c r="M982">
        <f>L982*E982</f>
        <v>167.67000000000002</v>
      </c>
      <c r="N982" t="str">
        <f>IF(I982="Rob","Robusta",IF(I982="Exc","Excelsa",IF(I982="Ara","Arabica",IF(I982="Lib","Liberica",""))))</f>
        <v>Excelsa</v>
      </c>
      <c r="O982" t="str">
        <f t="shared" si="15"/>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9">
        <f>INDEX(products!$A$1:$G$49,MATCH(orders!$D983,products!$A$1:$A$49,0),MATCH(orders!K$1,products!$A$1:$G$1,0))</f>
        <v>0.2</v>
      </c>
      <c r="L983" s="5">
        <f>INDEX(products!$A$1:$G$49,MATCH(orders!$D983,products!$A$1:$A$49,0),MATCH(orders!L$1,products!$A$1:$G$1,0))</f>
        <v>3.645</v>
      </c>
      <c r="M983">
        <f>L983*E983</f>
        <v>21.87</v>
      </c>
      <c r="N983" t="str">
        <f>IF(I983="Rob","Robusta",IF(I983="Exc","Excelsa",IF(I983="Ara","Arabica",IF(I983="Lib","Liberica",""))))</f>
        <v>Excelsa</v>
      </c>
      <c r="O983" t="str">
        <f t="shared" si="15"/>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9">
        <f>INDEX(products!$A$1:$G$49,MATCH(orders!$D984,products!$A$1:$A$49,0),MATCH(orders!K$1,products!$A$1:$G$1,0))</f>
        <v>1</v>
      </c>
      <c r="L984" s="5">
        <f>INDEX(products!$A$1:$G$49,MATCH(orders!$D984,products!$A$1:$A$49,0),MATCH(orders!L$1,products!$A$1:$G$1,0))</f>
        <v>11.95</v>
      </c>
      <c r="M984">
        <f>L984*E984</f>
        <v>23.9</v>
      </c>
      <c r="N984" t="str">
        <f>IF(I984="Rob","Robusta",IF(I984="Exc","Excelsa",IF(I984="Ara","Arabica",IF(I984="Lib","Liberica",""))))</f>
        <v>Robusta</v>
      </c>
      <c r="O984" t="str">
        <f t="shared" si="15"/>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9">
        <f>INDEX(products!$A$1:$G$49,MATCH(orders!$D985,products!$A$1:$A$49,0),MATCH(orders!K$1,products!$A$1:$G$1,0))</f>
        <v>0.2</v>
      </c>
      <c r="L985" s="5">
        <f>INDEX(products!$A$1:$G$49,MATCH(orders!$D985,products!$A$1:$A$49,0),MATCH(orders!L$1,products!$A$1:$G$1,0))</f>
        <v>3.375</v>
      </c>
      <c r="M985">
        <f>L985*E985</f>
        <v>6.75</v>
      </c>
      <c r="N985" t="str">
        <f>IF(I985="Rob","Robusta",IF(I985="Exc","Excelsa",IF(I985="Ara","Arabica",IF(I985="Lib","Liberica",""))))</f>
        <v>Arabica</v>
      </c>
      <c r="O985" t="str">
        <f t="shared" si="15"/>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9">
        <f>INDEX(products!$A$1:$G$49,MATCH(orders!$D986,products!$A$1:$A$49,0),MATCH(orders!K$1,products!$A$1:$G$1,0))</f>
        <v>2.5</v>
      </c>
      <c r="L986" s="5">
        <f>INDEX(products!$A$1:$G$49,MATCH(orders!$D986,products!$A$1:$A$49,0),MATCH(orders!L$1,products!$A$1:$G$1,0))</f>
        <v>31.624999999999996</v>
      </c>
      <c r="M986">
        <f>L986*E986</f>
        <v>31.624999999999996</v>
      </c>
      <c r="N986" t="str">
        <f>IF(I986="Rob","Robusta",IF(I986="Exc","Excelsa",IF(I986="Ara","Arabica",IF(I986="Lib","Liberica",""))))</f>
        <v>Excelsa</v>
      </c>
      <c r="O986" t="str">
        <f t="shared" si="15"/>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9">
        <f>INDEX(products!$A$1:$G$49,MATCH(orders!$D987,products!$A$1:$A$49,0),MATCH(orders!K$1,products!$A$1:$G$1,0))</f>
        <v>1</v>
      </c>
      <c r="L987" s="5">
        <f>INDEX(products!$A$1:$G$49,MATCH(orders!$D987,products!$A$1:$A$49,0),MATCH(orders!L$1,products!$A$1:$G$1,0))</f>
        <v>11.95</v>
      </c>
      <c r="M987">
        <f>L987*E987</f>
        <v>47.8</v>
      </c>
      <c r="N987" t="str">
        <f>IF(I987="Rob","Robusta",IF(I987="Exc","Excelsa",IF(I987="Ara","Arabica",IF(I987="Lib","Liberica",""))))</f>
        <v>Robusta</v>
      </c>
      <c r="O987" t="str">
        <f t="shared" si="15"/>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9">
        <f>INDEX(products!$A$1:$G$49,MATCH(orders!$D988,products!$A$1:$A$49,0),MATCH(orders!K$1,products!$A$1:$G$1,0))</f>
        <v>2.5</v>
      </c>
      <c r="L988" s="5">
        <f>INDEX(products!$A$1:$G$49,MATCH(orders!$D988,products!$A$1:$A$49,0),MATCH(orders!L$1,products!$A$1:$G$1,0))</f>
        <v>33.464999999999996</v>
      </c>
      <c r="M988">
        <f>L988*E988</f>
        <v>33.464999999999996</v>
      </c>
      <c r="N988" t="str">
        <f>IF(I988="Rob","Robusta",IF(I988="Exc","Excelsa",IF(I988="Ara","Arabica",IF(I988="Lib","Liberica",""))))</f>
        <v>Liberica</v>
      </c>
      <c r="O988" t="str">
        <f t="shared" si="15"/>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9">
        <f>INDEX(products!$A$1:$G$49,MATCH(orders!$D989,products!$A$1:$A$49,0),MATCH(orders!K$1,products!$A$1:$G$1,0))</f>
        <v>0.5</v>
      </c>
      <c r="L989" s="5">
        <f>INDEX(products!$A$1:$G$49,MATCH(orders!$D989,products!$A$1:$A$49,0),MATCH(orders!L$1,products!$A$1:$G$1,0))</f>
        <v>5.97</v>
      </c>
      <c r="M989">
        <f>L989*E989</f>
        <v>29.849999999999998</v>
      </c>
      <c r="N989" t="str">
        <f>IF(I989="Rob","Robusta",IF(I989="Exc","Excelsa",IF(I989="Ara","Arabica",IF(I989="Lib","Liberica",""))))</f>
        <v>Arabica</v>
      </c>
      <c r="O989" t="str">
        <f t="shared" si="15"/>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f>_xlfn.XLOOKUP(C990,customers!$A$1:$A$1001,customers!$C$1:$C$1001,,0)</f>
        <v>0</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9">
        <f>INDEX(products!$A$1:$G$49,MATCH(orders!$D990,products!$A$1:$A$49,0),MATCH(orders!K$1,products!$A$1:$G$1,0))</f>
        <v>1</v>
      </c>
      <c r="L990" s="5">
        <f>INDEX(products!$A$1:$G$49,MATCH(orders!$D990,products!$A$1:$A$49,0),MATCH(orders!L$1,products!$A$1:$G$1,0))</f>
        <v>9.9499999999999993</v>
      </c>
      <c r="M990">
        <f>L990*E990</f>
        <v>29.849999999999998</v>
      </c>
      <c r="N990" t="str">
        <f>IF(I990="Rob","Robusta",IF(I990="Exc","Excelsa",IF(I990="Ara","Arabica",IF(I990="Lib","Liberica",""))))</f>
        <v>Robusta</v>
      </c>
      <c r="O990" t="str">
        <f t="shared" si="15"/>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f>_xlfn.XLOOKUP(C991,customers!$A$1:$A$1001,customers!$C$1:$C$1001,,0)</f>
        <v>0</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9">
        <f>INDEX(products!$A$1:$G$49,MATCH(orders!$D991,products!$A$1:$A$49,0),MATCH(orders!K$1,products!$A$1:$G$1,0))</f>
        <v>2.5</v>
      </c>
      <c r="L991" s="5">
        <f>INDEX(products!$A$1:$G$49,MATCH(orders!$D991,products!$A$1:$A$49,0),MATCH(orders!L$1,products!$A$1:$G$1,0))</f>
        <v>25.874999999999996</v>
      </c>
      <c r="M991">
        <f>L991*E991</f>
        <v>155.24999999999997</v>
      </c>
      <c r="N991" t="str">
        <f>IF(I991="Rob","Robusta",IF(I991="Exc","Excelsa",IF(I991="Ara","Arabica",IF(I991="Lib","Liberica",""))))</f>
        <v>Arabica</v>
      </c>
      <c r="O991" t="str">
        <f t="shared" si="15"/>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f>_xlfn.XLOOKUP(C992,customers!$A$1:$A$1001,customers!$C$1:$C$1001,,0)</f>
        <v>0</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9">
        <f>INDEX(products!$A$1:$G$49,MATCH(orders!$D992,products!$A$1:$A$49,0),MATCH(orders!K$1,products!$A$1:$G$1,0))</f>
        <v>0.2</v>
      </c>
      <c r="L992" s="5">
        <f>INDEX(products!$A$1:$G$49,MATCH(orders!$D992,products!$A$1:$A$49,0),MATCH(orders!L$1,products!$A$1:$G$1,0))</f>
        <v>3.645</v>
      </c>
      <c r="M992">
        <f>L992*E992</f>
        <v>18.225000000000001</v>
      </c>
      <c r="N992" t="str">
        <f>IF(I992="Rob","Robusta",IF(I992="Exc","Excelsa",IF(I992="Ara","Arabica",IF(I992="Lib","Liberica",""))))</f>
        <v>Excelsa</v>
      </c>
      <c r="O992" t="str">
        <f t="shared" si="15"/>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f>_xlfn.XLOOKUP(C993,customers!$A$1:$A$1001,customers!$C$1:$C$1001,,0)</f>
        <v>0</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9">
        <f>INDEX(products!$A$1:$G$49,MATCH(orders!$D993,products!$A$1:$A$49,0),MATCH(orders!K$1,products!$A$1:$G$1,0))</f>
        <v>0.5</v>
      </c>
      <c r="L993" s="5">
        <f>INDEX(products!$A$1:$G$49,MATCH(orders!$D993,products!$A$1:$A$49,0),MATCH(orders!L$1,products!$A$1:$G$1,0))</f>
        <v>7.77</v>
      </c>
      <c r="M993">
        <f>L993*E993</f>
        <v>15.54</v>
      </c>
      <c r="N993" t="str">
        <f>IF(I993="Rob","Robusta",IF(I993="Exc","Excelsa",IF(I993="Ara","Arabica",IF(I993="Lib","Liberica",""))))</f>
        <v>Liberica</v>
      </c>
      <c r="O993" t="str">
        <f t="shared" si="15"/>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f>_xlfn.XLOOKUP(C994,customers!$A$1:$A$1001,customers!$C$1:$C$1001,,0)</f>
        <v>0</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9">
        <f>INDEX(products!$A$1:$G$49,MATCH(orders!$D994,products!$A$1:$A$49,0),MATCH(orders!K$1,products!$A$1:$G$1,0))</f>
        <v>2.5</v>
      </c>
      <c r="L994" s="5">
        <f>INDEX(products!$A$1:$G$49,MATCH(orders!$D994,products!$A$1:$A$49,0),MATCH(orders!L$1,products!$A$1:$G$1,0))</f>
        <v>36.454999999999998</v>
      </c>
      <c r="M994">
        <f>L994*E994</f>
        <v>109.36499999999999</v>
      </c>
      <c r="N994" t="str">
        <f>IF(I994="Rob","Robusta",IF(I994="Exc","Excelsa",IF(I994="Ara","Arabica",IF(I994="Lib","Liberica",""))))</f>
        <v>Liberica</v>
      </c>
      <c r="O994" t="str">
        <f t="shared" si="15"/>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f>_xlfn.XLOOKUP(C995,customers!$A$1:$A$1001,customers!$C$1:$C$1001,,0)</f>
        <v>0</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9">
        <f>INDEX(products!$A$1:$G$49,MATCH(orders!$D995,products!$A$1:$A$49,0),MATCH(orders!K$1,products!$A$1:$G$1,0))</f>
        <v>1</v>
      </c>
      <c r="L995" s="5">
        <f>INDEX(products!$A$1:$G$49,MATCH(orders!$D995,products!$A$1:$A$49,0),MATCH(orders!L$1,products!$A$1:$G$1,0))</f>
        <v>12.95</v>
      </c>
      <c r="M995">
        <f>L995*E995</f>
        <v>77.699999999999989</v>
      </c>
      <c r="N995" t="str">
        <f>IF(I995="Rob","Robusta",IF(I995="Exc","Excelsa",IF(I995="Ara","Arabica",IF(I995="Lib","Liberica",""))))</f>
        <v>Arabica</v>
      </c>
      <c r="O995" t="str">
        <f t="shared" si="15"/>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f>_xlfn.XLOOKUP(C996,customers!$A$1:$A$1001,customers!$C$1:$C$1001,,0)</f>
        <v>0</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9">
        <f>INDEX(products!$A$1:$G$49,MATCH(orders!$D996,products!$A$1:$A$49,0),MATCH(orders!K$1,products!$A$1:$G$1,0))</f>
        <v>0.2</v>
      </c>
      <c r="L996" s="5">
        <f>INDEX(products!$A$1:$G$49,MATCH(orders!$D996,products!$A$1:$A$49,0),MATCH(orders!L$1,products!$A$1:$G$1,0))</f>
        <v>2.9849999999999999</v>
      </c>
      <c r="M996">
        <f>L996*E996</f>
        <v>8.9550000000000001</v>
      </c>
      <c r="N996" t="str">
        <f>IF(I996="Rob","Robusta",IF(I996="Exc","Excelsa",IF(I996="Ara","Arabica",IF(I996="Lib","Liberica",""))))</f>
        <v>Arabica</v>
      </c>
      <c r="O996" t="str">
        <f t="shared" si="15"/>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9">
        <f>INDEX(products!$A$1:$G$49,MATCH(orders!$D997,products!$A$1:$A$49,0),MATCH(orders!K$1,products!$A$1:$G$1,0))</f>
        <v>2.5</v>
      </c>
      <c r="L997" s="5">
        <f>INDEX(products!$A$1:$G$49,MATCH(orders!$D997,products!$A$1:$A$49,0),MATCH(orders!L$1,products!$A$1:$G$1,0))</f>
        <v>27.484999999999996</v>
      </c>
      <c r="M997">
        <f>L997*E997</f>
        <v>27.484999999999996</v>
      </c>
      <c r="N997" t="str">
        <f>IF(I997="Rob","Robusta",IF(I997="Exc","Excelsa",IF(I997="Ara","Arabica",IF(I997="Lib","Liberica",""))))</f>
        <v>Robusta</v>
      </c>
      <c r="O997" t="str">
        <f t="shared" si="15"/>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f>_xlfn.XLOOKUP(C998,customers!$A$1:$A$1001,customers!$C$1:$C$1001,,0)</f>
        <v>0</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9">
        <f>INDEX(products!$A$1:$G$49,MATCH(orders!$D998,products!$A$1:$A$49,0),MATCH(orders!K$1,products!$A$1:$G$1,0))</f>
        <v>0.5</v>
      </c>
      <c r="L998" s="5">
        <f>INDEX(products!$A$1:$G$49,MATCH(orders!$D998,products!$A$1:$A$49,0),MATCH(orders!L$1,products!$A$1:$G$1,0))</f>
        <v>5.97</v>
      </c>
      <c r="M998">
        <f>L998*E998</f>
        <v>29.849999999999998</v>
      </c>
      <c r="N998" t="str">
        <f>IF(I998="Rob","Robusta",IF(I998="Exc","Excelsa",IF(I998="Ara","Arabica",IF(I998="Lib","Liberica",""))))</f>
        <v>Robusta</v>
      </c>
      <c r="O998" t="str">
        <f t="shared" si="15"/>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f>_xlfn.XLOOKUP(C999,customers!$A$1:$A$1001,customers!$C$1:$C$1001,,0)</f>
        <v>0</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9">
        <f>INDEX(products!$A$1:$G$49,MATCH(orders!$D999,products!$A$1:$A$49,0),MATCH(orders!K$1,products!$A$1:$G$1,0))</f>
        <v>0.5</v>
      </c>
      <c r="L999" s="5">
        <f>INDEX(products!$A$1:$G$49,MATCH(orders!$D999,products!$A$1:$A$49,0),MATCH(orders!L$1,products!$A$1:$G$1,0))</f>
        <v>6.75</v>
      </c>
      <c r="M999">
        <f>L999*E999</f>
        <v>27</v>
      </c>
      <c r="N999" t="str">
        <f>IF(I999="Rob","Robusta",IF(I999="Exc","Excelsa",IF(I999="Ara","Arabica",IF(I999="Lib","Liberica",""))))</f>
        <v>Arabica</v>
      </c>
      <c r="O999" t="str">
        <f t="shared" si="15"/>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9">
        <f>INDEX(products!$A$1:$G$49,MATCH(orders!$D1000,products!$A$1:$A$49,0),MATCH(orders!K$1,products!$A$1:$G$1,0))</f>
        <v>1</v>
      </c>
      <c r="L1000" s="5">
        <f>INDEX(products!$A$1:$G$49,MATCH(orders!$D1000,products!$A$1:$A$49,0),MATCH(orders!L$1,products!$A$1:$G$1,0))</f>
        <v>9.9499999999999993</v>
      </c>
      <c r="M1000">
        <f>L1000*E1000</f>
        <v>9.9499999999999993</v>
      </c>
      <c r="N1000" t="str">
        <f>IF(I1000="Rob","Robusta",IF(I1000="Exc","Excelsa",IF(I1000="Ara","Arabica",IF(I1000="Lib","Liberica",""))))</f>
        <v>Arabica</v>
      </c>
      <c r="O1000" t="str">
        <f t="shared" si="15"/>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f>_xlfn.XLOOKUP(C1001,customers!$A$1:$A$1001,customers!$C$1:$C$1001,,0)</f>
        <v>0</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9">
        <f>INDEX(products!$A$1:$G$49,MATCH(orders!$D1001,products!$A$1:$A$49,0),MATCH(orders!K$1,products!$A$1:$G$1,0))</f>
        <v>0.2</v>
      </c>
      <c r="L1001" s="5">
        <f>INDEX(products!$A$1:$G$49,MATCH(orders!$D1001,products!$A$1:$A$49,0),MATCH(orders!L$1,products!$A$1:$G$1,0))</f>
        <v>4.125</v>
      </c>
      <c r="M1001">
        <f>L1001*E1001</f>
        <v>12.375</v>
      </c>
      <c r="N1001" t="str">
        <f>IF(I1001="Rob","Robusta",IF(I1001="Exc","Excelsa",IF(I1001="Ara","Arabica",IF(I1001="Lib","Liberica",""))))</f>
        <v>Excelsa</v>
      </c>
      <c r="O1001" t="str">
        <f t="shared" si="15"/>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4" workbookViewId="0">
      <selection activeCell="I9" sqref="I9"/>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DashBoard</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Mona Mostafa</dc:creator>
  <cp:keywords/>
  <dc:description/>
  <cp:lastModifiedBy>Mona Mostafa</cp:lastModifiedBy>
  <cp:revision/>
  <dcterms:created xsi:type="dcterms:W3CDTF">2022-11-26T09:51:45Z</dcterms:created>
  <dcterms:modified xsi:type="dcterms:W3CDTF">2024-10-24T15:01:29Z</dcterms:modified>
  <cp:category/>
  <cp:contentStatus/>
</cp:coreProperties>
</file>